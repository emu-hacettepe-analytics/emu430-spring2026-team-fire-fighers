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elifalim\Desktop\Ormancılık İstatistikleri 2022\12 Orman yangınları_2022\"/>
    </mc:Choice>
  </mc:AlternateContent>
  <bookViews>
    <workbookView xWindow="0" yWindow="0" windowWidth="24240" windowHeight="11880"/>
  </bookViews>
  <sheets>
    <sheet name="12.7" sheetId="1" r:id="rId1"/>
  </sheets>
  <calcPr calcId="162913"/>
</workbook>
</file>

<file path=xl/calcChain.xml><?xml version="1.0" encoding="utf-8"?>
<calcChain xmlns="http://schemas.openxmlformats.org/spreadsheetml/2006/main">
  <c r="T37" i="1" l="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alcChain>
</file>

<file path=xl/sharedStrings.xml><?xml version="1.0" encoding="utf-8"?>
<sst xmlns="http://schemas.openxmlformats.org/spreadsheetml/2006/main" count="359" uniqueCount="65">
  <si>
    <r>
      <t>(Hektar -</t>
    </r>
    <r>
      <rPr>
        <sz val="8"/>
        <rFont val="Tahoma"/>
        <family val="2"/>
        <charset val="162"/>
      </rPr>
      <t xml:space="preserve"> Hectare</t>
    </r>
    <r>
      <rPr>
        <b/>
        <sz val="8"/>
        <rFont val="Tahoma"/>
        <family val="2"/>
        <charset val="162"/>
      </rPr>
      <t>)</t>
    </r>
  </si>
  <si>
    <r>
      <t xml:space="preserve">Anız        </t>
    </r>
    <r>
      <rPr>
        <sz val="8"/>
        <rFont val="Tahoma"/>
        <family val="2"/>
        <charset val="162"/>
      </rPr>
      <t>Stubble fire</t>
    </r>
  </si>
  <si>
    <r>
      <t xml:space="preserve">Çöplük    </t>
    </r>
    <r>
      <rPr>
        <sz val="8"/>
        <rFont val="Tahoma"/>
        <family val="2"/>
        <charset val="162"/>
      </rPr>
      <t>Dump</t>
    </r>
  </si>
  <si>
    <r>
      <t xml:space="preserve">Avcılık   </t>
    </r>
    <r>
      <rPr>
        <sz val="8"/>
        <rFont val="Tahoma"/>
        <family val="2"/>
        <charset val="162"/>
      </rPr>
      <t>Hunting</t>
    </r>
  </si>
  <si>
    <r>
      <t xml:space="preserve">Çoban Ateşi  </t>
    </r>
    <r>
      <rPr>
        <sz val="8"/>
        <rFont val="Tahoma"/>
        <family val="2"/>
        <charset val="162"/>
      </rPr>
      <t>Shepherd fire</t>
    </r>
  </si>
  <si>
    <r>
      <t xml:space="preserve">Sigara </t>
    </r>
    <r>
      <rPr>
        <sz val="8"/>
        <rFont val="Tahoma"/>
        <family val="2"/>
        <charset val="162"/>
      </rPr>
      <t>Cigarette</t>
    </r>
  </si>
  <si>
    <r>
      <t xml:space="preserve">Piknik  </t>
    </r>
    <r>
      <rPr>
        <sz val="8"/>
        <rFont val="Tahoma"/>
        <family val="2"/>
        <charset val="162"/>
      </rPr>
      <t>Picnic</t>
    </r>
  </si>
  <si>
    <r>
      <t xml:space="preserve">Diğer  </t>
    </r>
    <r>
      <rPr>
        <sz val="8"/>
        <rFont val="Tahoma"/>
        <family val="2"/>
        <charset val="162"/>
      </rPr>
      <t>Other</t>
    </r>
  </si>
  <si>
    <r>
      <t>Terör</t>
    </r>
    <r>
      <rPr>
        <sz val="8"/>
        <rFont val="Tahoma"/>
        <family val="2"/>
        <charset val="162"/>
      </rPr>
      <t xml:space="preserve"> Terror</t>
    </r>
  </si>
  <si>
    <r>
      <t xml:space="preserve">Kundaklama     </t>
    </r>
    <r>
      <rPr>
        <sz val="8"/>
        <rFont val="Tahoma"/>
        <family val="2"/>
        <charset val="162"/>
      </rPr>
      <t>Incension</t>
    </r>
  </si>
  <si>
    <r>
      <t xml:space="preserve">Açma </t>
    </r>
    <r>
      <rPr>
        <sz val="8"/>
        <rFont val="Tahoma"/>
        <family val="2"/>
        <charset val="162"/>
      </rPr>
      <t>Expanding</t>
    </r>
  </si>
  <si>
    <r>
      <t xml:space="preserve">Enerji </t>
    </r>
    <r>
      <rPr>
        <sz val="8"/>
        <rFont val="Tahoma"/>
        <family val="2"/>
        <charset val="162"/>
      </rPr>
      <t>Energy</t>
    </r>
  </si>
  <si>
    <r>
      <t xml:space="preserve">Trafik </t>
    </r>
    <r>
      <rPr>
        <sz val="8"/>
        <rFont val="Tahoma"/>
        <family val="2"/>
        <charset val="162"/>
      </rPr>
      <t>Traffic</t>
    </r>
  </si>
  <si>
    <t>Adana</t>
  </si>
  <si>
    <t>Amasya</t>
  </si>
  <si>
    <t>Ankara</t>
  </si>
  <si>
    <t>Antalya</t>
  </si>
  <si>
    <t>Artvin</t>
  </si>
  <si>
    <t>Balıkesir</t>
  </si>
  <si>
    <t>Bolu</t>
  </si>
  <si>
    <t>Bursa</t>
  </si>
  <si>
    <t>Denizli</t>
  </si>
  <si>
    <t>Elazığ</t>
  </si>
  <si>
    <t>Erzurum</t>
  </si>
  <si>
    <t>Eskişehir</t>
  </si>
  <si>
    <t>Giresun</t>
  </si>
  <si>
    <t>Isparta</t>
  </si>
  <si>
    <t>İstanbul</t>
  </si>
  <si>
    <t>İzmir</t>
  </si>
  <si>
    <t>K.Maraş</t>
  </si>
  <si>
    <t>Kastamonu</t>
  </si>
  <si>
    <t>Kayseri</t>
  </si>
  <si>
    <t>Konya</t>
  </si>
  <si>
    <t>Kütahya</t>
  </si>
  <si>
    <t>Mersin</t>
  </si>
  <si>
    <t>Muğla</t>
  </si>
  <si>
    <t>Trabzon</t>
  </si>
  <si>
    <t>Zonguldak</t>
  </si>
  <si>
    <r>
      <t>Toplam-</t>
    </r>
    <r>
      <rPr>
        <sz val="8"/>
        <rFont val="Tahoma"/>
        <family val="2"/>
        <charset val="162"/>
      </rPr>
      <t>Total</t>
    </r>
  </si>
  <si>
    <t xml:space="preserve">Kasıt   </t>
  </si>
  <si>
    <t>Kaza</t>
  </si>
  <si>
    <t>Negligence</t>
  </si>
  <si>
    <t>Intentional</t>
  </si>
  <si>
    <t>Accident</t>
  </si>
  <si>
    <t xml:space="preserve">            İhmal            </t>
  </si>
  <si>
    <r>
      <rPr>
        <b/>
        <sz val="8"/>
        <rFont val="Tahoma"/>
        <family val="2"/>
        <charset val="162"/>
      </rPr>
      <t xml:space="preserve"> Doğal </t>
    </r>
    <r>
      <rPr>
        <sz val="8"/>
        <rFont val="Tahoma"/>
        <family val="2"/>
        <charset val="162"/>
      </rPr>
      <t xml:space="preserve">              Natural (Lighting)</t>
    </r>
  </si>
  <si>
    <r>
      <t xml:space="preserve"> Toplam                               </t>
    </r>
    <r>
      <rPr>
        <sz val="8"/>
        <rFont val="Tahoma"/>
        <family val="2"/>
        <charset val="162"/>
      </rPr>
      <t>Total</t>
    </r>
  </si>
  <si>
    <t>Sakarya</t>
  </si>
  <si>
    <t>Şanlıurfa</t>
  </si>
  <si>
    <t>Çanakkale</t>
  </si>
  <si>
    <r>
      <t xml:space="preserve">Orman Bölge Müdürlüğü                 </t>
    </r>
    <r>
      <rPr>
        <sz val="8"/>
        <rFont val="Tahoma"/>
        <family val="2"/>
        <charset val="162"/>
      </rPr>
      <t>Regional directorates of forestry</t>
    </r>
  </si>
  <si>
    <r>
      <rPr>
        <b/>
        <sz val="8"/>
        <rFont val="Tahoma"/>
        <family val="2"/>
        <charset val="162"/>
      </rPr>
      <t xml:space="preserve">Sebebi Bilinmeyen </t>
    </r>
    <r>
      <rPr>
        <sz val="8"/>
        <rFont val="Tahoma"/>
        <family val="2"/>
        <charset val="162"/>
      </rPr>
      <t xml:space="preserve">                   Unknown</t>
    </r>
  </si>
  <si>
    <r>
      <t xml:space="preserve">Diğer              </t>
    </r>
    <r>
      <rPr>
        <sz val="8"/>
        <rFont val="Tahoma"/>
        <family val="2"/>
        <charset val="162"/>
      </rPr>
      <t>Other</t>
    </r>
  </si>
  <si>
    <t>DKMPGM</t>
  </si>
  <si>
    <t>Not:Tarım ve Orman Bakanlığı Doğa Koruma ve Milli Parklar Genel Müdürlüğü (DKMPGM) sorumluluğunda bulunan millipark, tabiat parkı gibi sahalarda meydana gelen yangın verileri ayrı bir başlık altında sınıflandırılmıştır.</t>
  </si>
  <si>
    <t>Note:Fire data occurring in areas such as national parks and nature parks, which are under the responsibility of the Ministry of Agriculture and Forestry, General Directorate of Nature Conservation and National Parks, are classified under a separate heading.</t>
  </si>
  <si>
    <t>12.7 Yangınların çıkış sebeplerine göre bölge müdürlüklerine alan olarak dağılımı, 2022</t>
  </si>
  <si>
    <t xml:space="preserve">        The distribution of the area to regional directorates according to reason out the fire, 2022</t>
  </si>
  <si>
    <t>Hatay</t>
  </si>
  <si>
    <t>Sinop</t>
  </si>
  <si>
    <t>-</t>
  </si>
  <si>
    <t xml:space="preserve">Not(2): 28 Ekim 2021 tarih ve 31642 sayılı Resmi Gazetede yayınlanarak yürürlüğe giren 4640 sayılı Cumhurbaşkanı Kararı ile kuruluş merkezi Sinop İli olmak üzere Sinop Orman Bölge Müdürlüğü kurulmuştur. </t>
  </si>
  <si>
    <t xml:space="preserve">Not(3): 19 Kasım 2021 tarih ve 31664 sayılı Resmi Gazetede yayınlanarak yürürlüğe giren 4813 sayılı Cumhurbaşkanı Kararı ile kuruluş merkezi Hatay İli olmak üzere Hatay Orman Bölge Müdürlüğü kurulmuştur. </t>
  </si>
  <si>
    <t>Note(2): With the President's Decision No. 4640 published in the Official Gazette dated 28 October 2021 and numbered 31642, Sinop Regional Directorate of Forestry was established, with the center of establishment in Sinop Province</t>
  </si>
  <si>
    <t>Not(3):  With the President's Decision No. 4813 published in the Official Gazette dated 19 November 2021 and numbered 31664, Hatay Regional Directorate of Forestry was established, with the center of establishment in Hatay Province.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</si>
</sst>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 _T_L_-;\-* #,##0.00\ _T_L_-;_-* &quot;-&quot;??\ _T_L_-;_-@_-"/>
    <numFmt numFmtId="165" formatCode="[$-41F]General"/>
  </numFmts>
  <fonts count="37">
    <font>
      <sz val="11"/>
      <color theme="1"/>
      <name val="Calibri"/>
      <family val="2"/>
      <charset val="162"/>
      <scheme val="minor"/>
    </font>
    <font>
      <sz val="11"/>
      <color theme="1"/>
      <name val="Calibri"/>
      <family val="2"/>
      <charset val="162"/>
      <scheme val="minor"/>
    </font>
    <font>
      <sz val="10"/>
      <name val="Arial"/>
      <family val="2"/>
      <charset val="162"/>
    </font>
    <font>
      <sz val="10"/>
      <name val="Arial Tur"/>
      <charset val="162"/>
    </font>
    <font>
      <sz val="10"/>
      <name val="Arial"/>
      <family val="2"/>
      <charset val="162"/>
    </font>
    <font>
      <b/>
      <sz val="9"/>
      <name val="Tahoma"/>
      <family val="2"/>
      <charset val="162"/>
    </font>
    <font>
      <b/>
      <sz val="8"/>
      <name val="Tahoma"/>
      <family val="2"/>
      <charset val="162"/>
    </font>
    <font>
      <sz val="8"/>
      <name val="Tahoma"/>
      <family val="2"/>
      <charset val="162"/>
    </font>
    <font>
      <sz val="8"/>
      <color theme="1"/>
      <name val="Tahoma"/>
      <family val="2"/>
      <charset val="162"/>
    </font>
    <font>
      <sz val="11"/>
      <color indexed="8"/>
      <name val="Calibri"/>
      <family val="2"/>
      <charset val="162"/>
    </font>
    <font>
      <sz val="11"/>
      <color indexed="9"/>
      <name val="Calibri"/>
      <family val="2"/>
      <charset val="162"/>
    </font>
    <font>
      <i/>
      <sz val="11"/>
      <color indexed="23"/>
      <name val="Calibri"/>
      <family val="2"/>
      <charset val="162"/>
    </font>
    <font>
      <b/>
      <sz val="18"/>
      <color indexed="56"/>
      <name val="Cambria"/>
      <family val="2"/>
      <charset val="162"/>
    </font>
    <font>
      <sz val="11"/>
      <color indexed="20"/>
      <name val="Calibri"/>
      <family val="2"/>
      <charset val="162"/>
    </font>
    <font>
      <sz val="11"/>
      <color indexed="52"/>
      <name val="Calibri"/>
      <family val="2"/>
      <charset val="162"/>
    </font>
    <font>
      <b/>
      <sz val="15"/>
      <color indexed="56"/>
      <name val="Calibri"/>
      <family val="2"/>
      <charset val="162"/>
    </font>
    <font>
      <b/>
      <sz val="13"/>
      <color indexed="56"/>
      <name val="Calibri"/>
      <family val="2"/>
      <charset val="162"/>
    </font>
    <font>
      <b/>
      <sz val="11"/>
      <color indexed="56"/>
      <name val="Calibri"/>
      <family val="2"/>
      <charset val="162"/>
    </font>
    <font>
      <b/>
      <sz val="11"/>
      <color indexed="52"/>
      <name val="Calibri"/>
      <family val="2"/>
      <charset val="162"/>
    </font>
    <font>
      <b/>
      <sz val="11"/>
      <color indexed="9"/>
      <name val="Calibri"/>
      <family val="2"/>
      <charset val="162"/>
    </font>
    <font>
      <b/>
      <sz val="11"/>
      <color indexed="63"/>
      <name val="Calibri"/>
      <family val="2"/>
      <charset val="162"/>
    </font>
    <font>
      <sz val="11"/>
      <color rgb="FF000000"/>
      <name val="Calibri"/>
      <family val="2"/>
      <charset val="162"/>
    </font>
    <font>
      <sz val="11"/>
      <color indexed="62"/>
      <name val="Calibri"/>
      <family val="2"/>
      <charset val="162"/>
    </font>
    <font>
      <sz val="11"/>
      <color indexed="17"/>
      <name val="Calibri"/>
      <family val="2"/>
      <charset val="162"/>
    </font>
    <font>
      <sz val="11"/>
      <color indexed="60"/>
      <name val="Calibri"/>
      <family val="2"/>
      <charset val="162"/>
    </font>
    <font>
      <sz val="11"/>
      <color theme="1"/>
      <name val="Calibri"/>
      <family val="2"/>
      <scheme val="minor"/>
    </font>
    <font>
      <b/>
      <sz val="11"/>
      <color indexed="8"/>
      <name val="Calibri"/>
      <family val="2"/>
      <charset val="162"/>
    </font>
    <font>
      <sz val="11"/>
      <color indexed="10"/>
      <name val="Calibri"/>
      <family val="2"/>
      <charset val="162"/>
    </font>
    <font>
      <sz val="11"/>
      <color theme="1"/>
      <name val="Times New Roman"/>
      <family val="1"/>
      <charset val="162"/>
    </font>
    <font>
      <sz val="9"/>
      <name val="Tahoma"/>
      <family val="2"/>
      <charset val="162"/>
    </font>
    <font>
      <sz val="7"/>
      <name val="Tahoma"/>
      <family val="2"/>
      <charset val="162"/>
    </font>
    <font>
      <sz val="8"/>
      <name val="Arial"/>
      <family val="2"/>
      <charset val="162"/>
    </font>
    <font>
      <b/>
      <sz val="7"/>
      <color theme="1"/>
      <name val="Tahoma"/>
      <family val="2"/>
      <charset val="162"/>
    </font>
    <font>
      <sz val="7"/>
      <color theme="1"/>
      <name val="Tahoma"/>
      <family val="2"/>
      <charset val="162"/>
    </font>
    <font>
      <sz val="8"/>
      <color rgb="FF000000"/>
      <name val="SansSerif"/>
      <family val="2"/>
    </font>
    <font>
      <b/>
      <sz val="8"/>
      <color rgb="FF000000"/>
      <name val="SansSerif"/>
      <family val="2"/>
    </font>
    <font>
      <b/>
      <sz val="8"/>
      <color theme="1"/>
      <name val="Tahoma"/>
      <family val="2"/>
      <charset val="16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theme="0"/>
        <bgColor indexed="64"/>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51"/>
      </patternFill>
    </fill>
    <fill>
      <patternFill patternType="solid">
        <fgColor indexed="30"/>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FF"/>
      </patternFill>
    </fill>
  </fills>
  <borders count="14">
    <border>
      <left/>
      <right/>
      <top/>
      <bottom/>
      <diagonal/>
    </border>
    <border>
      <left/>
      <right/>
      <top/>
      <bottom style="medium">
        <color indexed="64"/>
      </bottom>
      <diagonal/>
    </border>
    <border>
      <left/>
      <right/>
      <top style="medium">
        <color indexed="64"/>
      </top>
      <bottom/>
      <diagonal/>
    </border>
    <border>
      <left/>
      <right/>
      <top/>
      <bottom style="thin">
        <color indexed="64"/>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4"/>
      </top>
      <bottom/>
      <diagonal/>
    </border>
  </borders>
  <cellStyleXfs count="104">
    <xf numFmtId="0" fontId="0" fillId="0" borderId="0"/>
    <xf numFmtId="0" fontId="2" fillId="0" borderId="0"/>
    <xf numFmtId="0" fontId="4" fillId="0" borderId="0"/>
    <xf numFmtId="0" fontId="3" fillId="0" borderId="0"/>
    <xf numFmtId="0" fontId="3" fillId="0" borderId="0"/>
    <xf numFmtId="0" fontId="4" fillId="0" borderId="0"/>
    <xf numFmtId="0" fontId="1"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6" borderId="0" applyNumberFormat="0" applyBorder="0" applyAlignment="0" applyProtection="0"/>
    <xf numFmtId="0" fontId="9" fillId="5" borderId="0" applyNumberFormat="0" applyBorder="0" applyAlignment="0" applyProtection="0"/>
    <xf numFmtId="0" fontId="9" fillId="12" borderId="0" applyNumberFormat="0" applyBorder="0" applyAlignment="0" applyProtection="0"/>
    <xf numFmtId="0" fontId="9" fillId="14" borderId="0" applyNumberFormat="0" applyBorder="0" applyAlignment="0" applyProtection="0"/>
    <xf numFmtId="0" fontId="10" fillId="15" borderId="0" applyNumberFormat="0" applyBorder="0" applyAlignment="0" applyProtection="0"/>
    <xf numFmtId="0" fontId="10" fillId="13"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16" borderId="0" applyNumberFormat="0" applyBorder="0" applyAlignment="0" applyProtection="0"/>
    <xf numFmtId="0" fontId="10" fillId="8"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6" borderId="0" applyNumberFormat="0" applyBorder="0" applyAlignment="0" applyProtection="0"/>
    <xf numFmtId="0" fontId="9" fillId="5" borderId="0" applyNumberFormat="0" applyBorder="0" applyAlignment="0" applyProtection="0"/>
    <xf numFmtId="0" fontId="9" fillId="12" borderId="0" applyNumberFormat="0" applyBorder="0" applyAlignment="0" applyProtection="0"/>
    <xf numFmtId="0" fontId="9" fillId="14" borderId="0" applyNumberFormat="0" applyBorder="0" applyAlignment="0" applyProtection="0"/>
    <xf numFmtId="0" fontId="10" fillId="15" borderId="0" applyNumberFormat="0" applyBorder="0" applyAlignment="0" applyProtection="0"/>
    <xf numFmtId="0" fontId="10" fillId="13"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16" borderId="0" applyNumberFormat="0" applyBorder="0" applyAlignment="0" applyProtection="0"/>
    <xf numFmtId="0" fontId="10" fillId="8"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7" borderId="0" applyNumberFormat="0" applyBorder="0" applyAlignment="0" applyProtection="0"/>
    <xf numFmtId="0" fontId="10" fillId="16" borderId="0" applyNumberFormat="0" applyBorder="0" applyAlignment="0" applyProtection="0"/>
    <xf numFmtId="0" fontId="10" fillId="20" borderId="0" applyNumberFormat="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3" fillId="3" borderId="0" applyNumberFormat="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0" applyNumberFormat="0" applyFill="0" applyBorder="0" applyAlignment="0" applyProtection="0"/>
    <xf numFmtId="164" fontId="9" fillId="0" borderId="0" applyFont="0" applyFill="0" applyBorder="0" applyAlignment="0" applyProtection="0"/>
    <xf numFmtId="0" fontId="18" fillId="21" borderId="8" applyNumberFormat="0" applyAlignment="0" applyProtection="0"/>
    <xf numFmtId="0" fontId="19" fillId="22" borderId="9" applyNumberFormat="0" applyAlignment="0" applyProtection="0"/>
    <xf numFmtId="0" fontId="20" fillId="21" borderId="10" applyNumberFormat="0" applyAlignment="0" applyProtection="0"/>
    <xf numFmtId="165" fontId="21" fillId="0" borderId="0" applyBorder="0" applyProtection="0"/>
    <xf numFmtId="0" fontId="11" fillId="0" borderId="0" applyNumberFormat="0" applyFill="0" applyBorder="0" applyAlignment="0" applyProtection="0"/>
    <xf numFmtId="0" fontId="22" fillId="11" borderId="8" applyNumberFormat="0" applyAlignment="0" applyProtection="0"/>
    <xf numFmtId="0" fontId="23" fillId="4" borderId="0" applyNumberFormat="0" applyBorder="0" applyAlignment="0" applyProtection="0"/>
    <xf numFmtId="0" fontId="15" fillId="0" borderId="5"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0" applyNumberFormat="0" applyFill="0" applyBorder="0" applyAlignment="0" applyProtection="0"/>
    <xf numFmtId="0" fontId="18" fillId="21" borderId="8" applyNumberFormat="0" applyAlignment="0" applyProtection="0"/>
    <xf numFmtId="0" fontId="22" fillId="11" borderId="8" applyNumberFormat="0" applyAlignment="0" applyProtection="0"/>
    <xf numFmtId="0" fontId="19" fillId="22" borderId="9" applyNumberFormat="0" applyAlignment="0" applyProtection="0"/>
    <xf numFmtId="0" fontId="23" fillId="4" borderId="0" applyNumberFormat="0" applyBorder="0" applyAlignment="0" applyProtection="0"/>
    <xf numFmtId="0" fontId="13" fillId="3" borderId="0" applyNumberFormat="0" applyBorder="0" applyAlignment="0" applyProtection="0"/>
    <xf numFmtId="0" fontId="14" fillId="0" borderId="4" applyNumberFormat="0" applyFill="0" applyAlignment="0" applyProtection="0"/>
    <xf numFmtId="0" fontId="24" fillId="23" borderId="0" applyNumberFormat="0" applyBorder="0" applyAlignment="0" applyProtection="0"/>
    <xf numFmtId="0" fontId="3" fillId="0" borderId="0"/>
    <xf numFmtId="0" fontId="25" fillId="0" borderId="0"/>
    <xf numFmtId="0" fontId="3" fillId="0" borderId="0"/>
    <xf numFmtId="0" fontId="4" fillId="24" borderId="11" applyNumberFormat="0" applyFont="0" applyAlignment="0" applyProtection="0"/>
    <xf numFmtId="0" fontId="9" fillId="24" borderId="11" applyNumberFormat="0" applyFont="0" applyAlignment="0" applyProtection="0"/>
    <xf numFmtId="0" fontId="24" fillId="23" borderId="0" applyNumberFormat="0" applyBorder="0" applyAlignment="0" applyProtection="0"/>
    <xf numFmtId="0" fontId="20" fillId="21" borderId="10" applyNumberFormat="0" applyAlignment="0" applyProtection="0"/>
    <xf numFmtId="0" fontId="12" fillId="0" borderId="0" applyNumberFormat="0" applyFill="0" applyBorder="0" applyAlignment="0" applyProtection="0"/>
    <xf numFmtId="0" fontId="26" fillId="0" borderId="12" applyNumberFormat="0" applyFill="0" applyAlignment="0" applyProtection="0"/>
    <xf numFmtId="0" fontId="26" fillId="0" borderId="12" applyNumberFormat="0" applyFill="0" applyAlignment="0" applyProtection="0"/>
    <xf numFmtId="0" fontId="27" fillId="0" borderId="0" applyNumberFormat="0" applyFill="0" applyBorder="0" applyAlignment="0" applyProtection="0"/>
    <xf numFmtId="164" fontId="9" fillId="0" borderId="0" applyFont="0" applyFill="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7" borderId="0" applyNumberFormat="0" applyBorder="0" applyAlignment="0" applyProtection="0"/>
    <xf numFmtId="0" fontId="10" fillId="16" borderId="0" applyNumberFormat="0" applyBorder="0" applyAlignment="0" applyProtection="0"/>
    <xf numFmtId="0" fontId="10" fillId="20" borderId="0" applyNumberFormat="0" applyBorder="0" applyAlignment="0" applyProtection="0"/>
    <xf numFmtId="0" fontId="27" fillId="0" borderId="0" applyNumberFormat="0" applyFill="0" applyBorder="0" applyAlignment="0" applyProtection="0"/>
    <xf numFmtId="9" fontId="9" fillId="0" borderId="0" applyFont="0" applyFill="0" applyBorder="0" applyAlignment="0" applyProtection="0"/>
    <xf numFmtId="164" fontId="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44">
    <xf numFmtId="0" fontId="0" fillId="0" borderId="0" xfId="0"/>
    <xf numFmtId="0" fontId="28" fillId="9" borderId="0" xfId="6" applyFont="1" applyFill="1" applyBorder="1"/>
    <xf numFmtId="0" fontId="5" fillId="9" borderId="1" xfId="4" applyFont="1" applyFill="1" applyBorder="1" applyAlignment="1">
      <alignment horizontal="left" vertical="center"/>
    </xf>
    <xf numFmtId="0" fontId="29" fillId="9" borderId="1" xfId="4" applyFont="1" applyFill="1" applyBorder="1" applyAlignment="1">
      <alignment horizontal="left" vertical="center"/>
    </xf>
    <xf numFmtId="0" fontId="6" fillId="9" borderId="0" xfId="4" applyFont="1" applyFill="1" applyBorder="1" applyAlignment="1">
      <alignment horizontal="left" vertical="center" wrapText="1"/>
    </xf>
    <xf numFmtId="0" fontId="0" fillId="9" borderId="0" xfId="0" applyFill="1"/>
    <xf numFmtId="0" fontId="29" fillId="9" borderId="2" xfId="4" applyFont="1" applyFill="1" applyBorder="1" applyAlignment="1">
      <alignment horizontal="left" vertical="center"/>
    </xf>
    <xf numFmtId="0" fontId="5" fillId="9" borderId="2" xfId="4" applyFont="1" applyFill="1" applyBorder="1" applyAlignment="1">
      <alignment horizontal="left" vertical="center"/>
    </xf>
    <xf numFmtId="0" fontId="6" fillId="9" borderId="0" xfId="4" applyFont="1" applyFill="1" applyBorder="1" applyAlignment="1">
      <alignment horizontal="center" vertical="center" readingOrder="1"/>
    </xf>
    <xf numFmtId="0" fontId="6" fillId="9" borderId="0" xfId="4" applyFont="1" applyFill="1" applyBorder="1" applyAlignment="1">
      <alignment horizontal="center" vertical="center"/>
    </xf>
    <xf numFmtId="2" fontId="28" fillId="9" borderId="0" xfId="6" applyNumberFormat="1" applyFont="1" applyFill="1" applyBorder="1"/>
    <xf numFmtId="0" fontId="6" fillId="9" borderId="0" xfId="4" applyFont="1" applyFill="1" applyBorder="1" applyAlignment="1">
      <alignment horizontal="center" vertical="center" wrapText="1"/>
    </xf>
    <xf numFmtId="0" fontId="6" fillId="9" borderId="3" xfId="4" applyFont="1" applyFill="1" applyBorder="1" applyAlignment="1">
      <alignment horizontal="center" vertical="center" wrapText="1"/>
    </xf>
    <xf numFmtId="4" fontId="32" fillId="9" borderId="0" xfId="0" applyNumberFormat="1" applyFont="1" applyFill="1" applyAlignment="1">
      <alignment horizontal="center"/>
    </xf>
    <xf numFmtId="4" fontId="32" fillId="9" borderId="0" xfId="0" applyNumberFormat="1" applyFont="1" applyFill="1" applyBorder="1" applyAlignment="1">
      <alignment horizontal="center"/>
    </xf>
    <xf numFmtId="2" fontId="34" fillId="25" borderId="0" xfId="0" applyNumberFormat="1" applyFont="1" applyFill="1" applyBorder="1" applyAlignment="1">
      <alignment horizontal="center" vertical="center" wrapText="1"/>
    </xf>
    <xf numFmtId="2" fontId="35" fillId="25" borderId="0" xfId="0" applyNumberFormat="1" applyFont="1" applyFill="1" applyBorder="1" applyAlignment="1">
      <alignment horizontal="center" vertical="center" wrapText="1"/>
    </xf>
    <xf numFmtId="2" fontId="34" fillId="25" borderId="1" xfId="0" applyNumberFormat="1" applyFont="1" applyFill="1" applyBorder="1" applyAlignment="1">
      <alignment horizontal="center" vertical="center" wrapText="1"/>
    </xf>
    <xf numFmtId="2" fontId="35" fillId="25" borderId="1" xfId="0" applyNumberFormat="1" applyFont="1" applyFill="1" applyBorder="1" applyAlignment="1">
      <alignment horizontal="center" vertical="center" wrapText="1"/>
    </xf>
    <xf numFmtId="4" fontId="32" fillId="9" borderId="13" xfId="0" applyNumberFormat="1" applyFont="1" applyFill="1" applyBorder="1" applyAlignment="1">
      <alignment horizontal="center"/>
    </xf>
    <xf numFmtId="4" fontId="32" fillId="9" borderId="1" xfId="0" applyNumberFormat="1" applyFont="1" applyFill="1" applyBorder="1" applyAlignment="1">
      <alignment horizontal="center"/>
    </xf>
    <xf numFmtId="0" fontId="36" fillId="9" borderId="0" xfId="0" applyFont="1" applyFill="1" applyBorder="1" applyAlignment="1">
      <alignment vertical="center"/>
    </xf>
    <xf numFmtId="0" fontId="36" fillId="9" borderId="0" xfId="0" applyFont="1" applyFill="1" applyAlignment="1">
      <alignment vertical="center"/>
    </xf>
    <xf numFmtId="0" fontId="36" fillId="9" borderId="1" xfId="0" applyFont="1" applyFill="1" applyBorder="1" applyAlignment="1">
      <alignment vertical="center"/>
    </xf>
    <xf numFmtId="0" fontId="7" fillId="9" borderId="0" xfId="4" applyFont="1" applyFill="1" applyBorder="1" applyAlignment="1">
      <alignment horizontal="center" vertical="top" wrapText="1"/>
    </xf>
    <xf numFmtId="0" fontId="7" fillId="9" borderId="3" xfId="4" applyFont="1" applyFill="1" applyBorder="1" applyAlignment="1">
      <alignment horizontal="center" vertical="top" wrapText="1"/>
    </xf>
    <xf numFmtId="0" fontId="6" fillId="9" borderId="0" xfId="4" applyFont="1" applyFill="1" applyBorder="1" applyAlignment="1">
      <alignment horizontal="center" vertical="top" wrapText="1"/>
    </xf>
    <xf numFmtId="0" fontId="6" fillId="9" borderId="3" xfId="4" applyFont="1" applyFill="1" applyBorder="1" applyAlignment="1">
      <alignment horizontal="center" vertical="top" wrapText="1"/>
    </xf>
    <xf numFmtId="0" fontId="5" fillId="9" borderId="0" xfId="4" applyFont="1" applyFill="1" applyBorder="1" applyAlignment="1">
      <alignment horizontal="left" vertical="center"/>
    </xf>
    <xf numFmtId="0" fontId="6" fillId="9" borderId="1" xfId="4" applyFont="1" applyFill="1" applyBorder="1" applyAlignment="1">
      <alignment horizontal="right" vertical="center"/>
    </xf>
    <xf numFmtId="0" fontId="5" fillId="9" borderId="2" xfId="4" applyFont="1" applyFill="1" applyBorder="1" applyAlignment="1">
      <alignment horizontal="center" vertical="center"/>
    </xf>
    <xf numFmtId="0" fontId="6" fillId="9" borderId="0" xfId="4" applyFont="1" applyFill="1" applyBorder="1" applyAlignment="1">
      <alignment horizontal="center" vertical="center" wrapText="1"/>
    </xf>
    <xf numFmtId="0" fontId="6" fillId="9" borderId="3" xfId="4" applyFont="1" applyFill="1" applyBorder="1" applyAlignment="1">
      <alignment horizontal="center" vertical="center" wrapText="1"/>
    </xf>
    <xf numFmtId="0" fontId="31" fillId="0" borderId="3" xfId="100" applyFont="1" applyBorder="1" applyAlignment="1">
      <alignment horizontal="center" vertical="center"/>
    </xf>
    <xf numFmtId="0" fontId="7" fillId="0" borderId="3" xfId="100" applyFont="1" applyBorder="1" applyAlignment="1">
      <alignment horizontal="center" vertical="center"/>
    </xf>
    <xf numFmtId="0" fontId="7" fillId="9" borderId="3" xfId="4" applyFont="1" applyFill="1" applyBorder="1" applyAlignment="1">
      <alignment horizontal="center" vertical="center" wrapText="1"/>
    </xf>
    <xf numFmtId="0" fontId="8" fillId="9" borderId="3" xfId="6" applyFont="1" applyFill="1" applyBorder="1" applyAlignment="1">
      <alignment horizontal="center" vertical="center" wrapText="1"/>
    </xf>
    <xf numFmtId="0" fontId="33" fillId="9" borderId="0" xfId="0" applyFont="1" applyFill="1" applyAlignment="1">
      <alignment horizontal="left" vertical="center" wrapText="1"/>
    </xf>
    <xf numFmtId="0" fontId="33" fillId="9" borderId="0" xfId="0" applyFont="1" applyFill="1" applyAlignment="1">
      <alignment horizontal="left" vertical="top" wrapText="1"/>
    </xf>
    <xf numFmtId="0" fontId="33" fillId="9" borderId="0" xfId="0" applyFont="1" applyFill="1" applyAlignment="1">
      <alignment horizontal="left" wrapText="1"/>
    </xf>
    <xf numFmtId="0" fontId="30" fillId="9" borderId="2" xfId="3" applyFont="1" applyFill="1" applyBorder="1" applyAlignment="1">
      <alignment horizontal="left" vertical="top" wrapText="1"/>
    </xf>
    <xf numFmtId="0" fontId="30" fillId="9" borderId="0" xfId="3" applyFont="1" applyFill="1" applyBorder="1" applyAlignment="1">
      <alignment horizontal="left" vertical="top" wrapText="1"/>
    </xf>
    <xf numFmtId="0" fontId="33" fillId="9" borderId="2" xfId="0" applyFont="1" applyFill="1" applyBorder="1" applyAlignment="1">
      <alignment horizontal="left" vertical="top" wrapText="1"/>
    </xf>
    <xf numFmtId="2" fontId="32" fillId="9" borderId="0" xfId="0" applyNumberFormat="1" applyFont="1" applyFill="1" applyAlignment="1">
      <alignment horizontal="center"/>
    </xf>
  </cellXfs>
  <cellStyles count="104">
    <cellStyle name="%20 - Vurgu1 2" xfId="7"/>
    <cellStyle name="%20 - Vurgu2 2" xfId="8"/>
    <cellStyle name="%20 - Vurgu3 2" xfId="9"/>
    <cellStyle name="%20 - Vurgu4 2" xfId="10"/>
    <cellStyle name="%20 - Vurgu5 2" xfId="11"/>
    <cellStyle name="%20 - Vurgu6 2" xfId="12"/>
    <cellStyle name="%40 - Vurgu1 2" xfId="13"/>
    <cellStyle name="%40 - Vurgu2 2" xfId="14"/>
    <cellStyle name="%40 - Vurgu3 2" xfId="15"/>
    <cellStyle name="%40 - Vurgu4 2" xfId="16"/>
    <cellStyle name="%40 - Vurgu5 2" xfId="17"/>
    <cellStyle name="%40 - Vurgu6 2" xfId="18"/>
    <cellStyle name="%60 - Vurgu1 2" xfId="19"/>
    <cellStyle name="%60 - Vurgu2 2" xfId="20"/>
    <cellStyle name="%60 - Vurgu3 2" xfId="21"/>
    <cellStyle name="%60 - Vurgu4 2" xfId="22"/>
    <cellStyle name="%60 - Vurgu5 2" xfId="23"/>
    <cellStyle name="%60 - Vurgu6 2" xfId="24"/>
    <cellStyle name="20% - Accent1" xfId="25"/>
    <cellStyle name="20% - Accent2" xfId="26"/>
    <cellStyle name="20% - Accent3" xfId="27"/>
    <cellStyle name="20% - Accent4" xfId="28"/>
    <cellStyle name="20% - Accent5" xfId="29"/>
    <cellStyle name="20% - Accent6" xfId="30"/>
    <cellStyle name="40% - Accent1" xfId="31"/>
    <cellStyle name="40% - Accent2" xfId="32"/>
    <cellStyle name="40% - Accent3" xfId="33"/>
    <cellStyle name="40% - Accent4" xfId="34"/>
    <cellStyle name="40% - Accent5" xfId="35"/>
    <cellStyle name="40% - Accent6" xfId="36"/>
    <cellStyle name="60% - Accent1" xfId="37"/>
    <cellStyle name="60% - Accent2" xfId="38"/>
    <cellStyle name="60% - Accent3" xfId="39"/>
    <cellStyle name="60% - Accent4" xfId="40"/>
    <cellStyle name="60% - Accent5" xfId="41"/>
    <cellStyle name="60% - Accent6" xfId="42"/>
    <cellStyle name="Accent1" xfId="43"/>
    <cellStyle name="Accent2" xfId="44"/>
    <cellStyle name="Accent3" xfId="45"/>
    <cellStyle name="Accent4" xfId="46"/>
    <cellStyle name="Accent5" xfId="47"/>
    <cellStyle name="Accent6" xfId="48"/>
    <cellStyle name="Açıklama Metni 2" xfId="49"/>
    <cellStyle name="Ana Başlık 2" xfId="50"/>
    <cellStyle name="Bad" xfId="51"/>
    <cellStyle name="Bağlı Hücre 2" xfId="52"/>
    <cellStyle name="Başlık 1 2" xfId="53"/>
    <cellStyle name="Başlık 2 2" xfId="54"/>
    <cellStyle name="Başlık 3 2" xfId="55"/>
    <cellStyle name="Başlık 4 2" xfId="56"/>
    <cellStyle name="Binlik Ayracı 2" xfId="57"/>
    <cellStyle name="Calculation" xfId="58"/>
    <cellStyle name="Check Cell" xfId="59"/>
    <cellStyle name="Çıkış 2" xfId="60"/>
    <cellStyle name="Excel Built-in Normal" xfId="61"/>
    <cellStyle name="Explanatory Text" xfId="62"/>
    <cellStyle name="Giriş 2" xfId="63"/>
    <cellStyle name="Good" xfId="64"/>
    <cellStyle name="Heading 1" xfId="65"/>
    <cellStyle name="Heading 2" xfId="66"/>
    <cellStyle name="Heading 3" xfId="67"/>
    <cellStyle name="Heading 4" xfId="68"/>
    <cellStyle name="Hesaplama 2" xfId="69"/>
    <cellStyle name="Input" xfId="70"/>
    <cellStyle name="İşaretli Hücre 2" xfId="71"/>
    <cellStyle name="İyi 2" xfId="72"/>
    <cellStyle name="Kötü 2" xfId="73"/>
    <cellStyle name="Linked Cell" xfId="74"/>
    <cellStyle name="Neutral" xfId="75"/>
    <cellStyle name="Normal" xfId="0" builtinId="0"/>
    <cellStyle name="Normal 10" xfId="97"/>
    <cellStyle name="Normal 2" xfId="2"/>
    <cellStyle name="Normal 2 2" xfId="76"/>
    <cellStyle name="Normal 2 3" xfId="77"/>
    <cellStyle name="Normal 3" xfId="1"/>
    <cellStyle name="Normal 3 2" xfId="78"/>
    <cellStyle name="Normal 3 3" xfId="103"/>
    <cellStyle name="Normal 3 4" xfId="6"/>
    <cellStyle name="Normal 4" xfId="98"/>
    <cellStyle name="Normal 5" xfId="99"/>
    <cellStyle name="Normal 6" xfId="5"/>
    <cellStyle name="Normal 7" xfId="100"/>
    <cellStyle name="Normal 8" xfId="101"/>
    <cellStyle name="Normal 9" xfId="102"/>
    <cellStyle name="Normal_2004 Yıl sonu değerlendirme Raporu 17-33" xfId="3"/>
    <cellStyle name="Normal_orhanuğurrıdvan.xl" xfId="4"/>
    <cellStyle name="Not 2" xfId="79"/>
    <cellStyle name="Note" xfId="80"/>
    <cellStyle name="Nötr 2" xfId="81"/>
    <cellStyle name="Output" xfId="82"/>
    <cellStyle name="Title" xfId="83"/>
    <cellStyle name="Toplam 2" xfId="84"/>
    <cellStyle name="Total" xfId="85"/>
    <cellStyle name="Uyarı Metni 2" xfId="86"/>
    <cellStyle name="Virgül 2" xfId="87"/>
    <cellStyle name="Virgül 3" xfId="96"/>
    <cellStyle name="Vurgu1 2" xfId="88"/>
    <cellStyle name="Vurgu2 2" xfId="89"/>
    <cellStyle name="Vurgu3 2" xfId="90"/>
    <cellStyle name="Vurgu4 2" xfId="91"/>
    <cellStyle name="Vurgu5 2" xfId="92"/>
    <cellStyle name="Vurgu6 2" xfId="93"/>
    <cellStyle name="Warning Text" xfId="94"/>
    <cellStyle name="Yüzde 2" xfId="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4"/>
  <sheetViews>
    <sheetView tabSelected="1" workbookViewId="0">
      <selection activeCell="AC6" sqref="AC6"/>
    </sheetView>
  </sheetViews>
  <sheetFormatPr defaultRowHeight="15"/>
  <cols>
    <col min="1" max="1" width="13" style="5" customWidth="1"/>
    <col min="2" max="2" width="10" style="5" customWidth="1"/>
    <col min="3" max="4" width="8" style="5" customWidth="1"/>
    <col min="5" max="5" width="10" style="5" customWidth="1"/>
    <col min="6" max="8" width="7.85546875" style="5" customWidth="1"/>
    <col min="9" max="9" width="3.140625" style="5" customWidth="1"/>
    <col min="10" max="10" width="7.7109375" style="5" customWidth="1"/>
    <col min="11" max="11" width="11.140625" style="5" customWidth="1"/>
    <col min="12" max="12" width="8.5703125" style="5" customWidth="1"/>
    <col min="13" max="13" width="10.42578125" style="5" customWidth="1"/>
    <col min="14" max="14" width="2" style="5" customWidth="1"/>
    <col min="15" max="15" width="10.28515625" style="5" customWidth="1"/>
    <col min="16" max="17" width="8" style="5" customWidth="1"/>
    <col min="18" max="18" width="11.140625" style="5" customWidth="1"/>
    <col min="19" max="19" width="9.42578125" style="5" customWidth="1"/>
    <col min="20" max="20" width="11.85546875" style="5" customWidth="1"/>
    <col min="21" max="16384" width="9.140625" style="5"/>
  </cols>
  <sheetData>
    <row r="1" spans="1:21" ht="15.75" customHeight="1">
      <c r="A1" s="28" t="s">
        <v>56</v>
      </c>
      <c r="B1" s="28"/>
      <c r="C1" s="28"/>
      <c r="D1" s="28"/>
      <c r="E1" s="28"/>
      <c r="F1" s="28"/>
      <c r="G1" s="28"/>
      <c r="H1" s="28"/>
      <c r="I1" s="28"/>
      <c r="J1" s="28"/>
      <c r="K1" s="28"/>
      <c r="L1" s="28"/>
      <c r="M1" s="28"/>
      <c r="N1" s="28"/>
      <c r="O1" s="28"/>
      <c r="P1" s="28"/>
      <c r="Q1" s="28"/>
      <c r="R1" s="28"/>
      <c r="S1" s="28"/>
      <c r="T1" s="28"/>
    </row>
    <row r="2" spans="1:21" ht="14.25" customHeight="1" thickBot="1">
      <c r="A2" s="3" t="s">
        <v>57</v>
      </c>
      <c r="B2" s="2"/>
      <c r="C2" s="2"/>
      <c r="D2" s="2"/>
      <c r="E2" s="2"/>
      <c r="F2" s="2"/>
      <c r="G2" s="2"/>
      <c r="H2" s="2"/>
      <c r="I2" s="2"/>
      <c r="J2" s="2"/>
      <c r="K2" s="2"/>
      <c r="L2" s="2"/>
      <c r="M2" s="2"/>
      <c r="N2" s="2"/>
      <c r="O2" s="2"/>
      <c r="P2" s="2"/>
      <c r="Q2" s="2"/>
      <c r="R2" s="2"/>
      <c r="S2" s="29" t="s">
        <v>0</v>
      </c>
      <c r="T2" s="29"/>
    </row>
    <row r="3" spans="1:21" ht="15.75" customHeight="1">
      <c r="A3" s="6"/>
      <c r="B3" s="30" t="s">
        <v>44</v>
      </c>
      <c r="C3" s="30"/>
      <c r="D3" s="30"/>
      <c r="E3" s="30"/>
      <c r="F3" s="30"/>
      <c r="G3" s="30"/>
      <c r="H3" s="30"/>
      <c r="I3" s="7"/>
      <c r="J3" s="30" t="s">
        <v>39</v>
      </c>
      <c r="K3" s="30"/>
      <c r="L3" s="30"/>
      <c r="M3" s="30"/>
      <c r="N3" s="7"/>
      <c r="O3" s="30" t="s">
        <v>40</v>
      </c>
      <c r="P3" s="30"/>
      <c r="Q3" s="30"/>
      <c r="U3" s="9"/>
    </row>
    <row r="4" spans="1:21" ht="13.5" customHeight="1">
      <c r="A4" s="31" t="s">
        <v>50</v>
      </c>
      <c r="B4" s="33" t="s">
        <v>41</v>
      </c>
      <c r="C4" s="33"/>
      <c r="D4" s="33"/>
      <c r="E4" s="33"/>
      <c r="F4" s="33"/>
      <c r="G4" s="33"/>
      <c r="H4" s="33"/>
      <c r="I4" s="11"/>
      <c r="J4" s="34" t="s">
        <v>42</v>
      </c>
      <c r="K4" s="33"/>
      <c r="L4" s="33"/>
      <c r="M4" s="33"/>
      <c r="N4" s="11"/>
      <c r="O4" s="35" t="s">
        <v>43</v>
      </c>
      <c r="P4" s="36"/>
      <c r="Q4" s="36"/>
      <c r="R4" s="24" t="s">
        <v>51</v>
      </c>
      <c r="S4" s="24" t="s">
        <v>45</v>
      </c>
      <c r="T4" s="26" t="s">
        <v>46</v>
      </c>
      <c r="U4" s="8"/>
    </row>
    <row r="5" spans="1:21" ht="39" customHeight="1">
      <c r="A5" s="32"/>
      <c r="B5" s="12" t="s">
        <v>1</v>
      </c>
      <c r="C5" s="12" t="s">
        <v>2</v>
      </c>
      <c r="D5" s="12" t="s">
        <v>3</v>
      </c>
      <c r="E5" s="12" t="s">
        <v>4</v>
      </c>
      <c r="F5" s="12" t="s">
        <v>5</v>
      </c>
      <c r="G5" s="12" t="s">
        <v>6</v>
      </c>
      <c r="H5" s="12" t="s">
        <v>7</v>
      </c>
      <c r="I5" s="12"/>
      <c r="J5" s="12" t="s">
        <v>8</v>
      </c>
      <c r="K5" s="12" t="s">
        <v>9</v>
      </c>
      <c r="L5" s="12" t="s">
        <v>10</v>
      </c>
      <c r="M5" s="12" t="s">
        <v>52</v>
      </c>
      <c r="N5" s="12"/>
      <c r="O5" s="12" t="s">
        <v>11</v>
      </c>
      <c r="P5" s="12" t="s">
        <v>12</v>
      </c>
      <c r="Q5" s="12" t="s">
        <v>7</v>
      </c>
      <c r="R5" s="25"/>
      <c r="S5" s="25"/>
      <c r="T5" s="27"/>
    </row>
    <row r="6" spans="1:21">
      <c r="A6" s="4" t="s">
        <v>38</v>
      </c>
      <c r="B6" s="13">
        <v>234.75800000000001</v>
      </c>
      <c r="C6" s="13">
        <v>502.82180000000005</v>
      </c>
      <c r="D6" s="13">
        <v>6.0000000000000001E-3</v>
      </c>
      <c r="E6" s="13">
        <v>63.602800000000002</v>
      </c>
      <c r="F6" s="13">
        <v>14.246200000000002</v>
      </c>
      <c r="G6" s="13">
        <v>5.2227999999999994</v>
      </c>
      <c r="H6" s="13">
        <v>1310.3665999999998</v>
      </c>
      <c r="I6" s="13"/>
      <c r="J6" s="19" t="s">
        <v>60</v>
      </c>
      <c r="K6" s="13">
        <v>5.0975000000000001</v>
      </c>
      <c r="L6" s="19" t="s">
        <v>60</v>
      </c>
      <c r="M6" s="13">
        <v>4717.1114000000007</v>
      </c>
      <c r="N6" s="13"/>
      <c r="O6" s="13">
        <v>2371.2339999999999</v>
      </c>
      <c r="P6" s="13">
        <v>86.740000000000009</v>
      </c>
      <c r="Q6" s="13">
        <v>839.18869999999993</v>
      </c>
      <c r="R6" s="13">
        <v>2131.7829000000002</v>
      </c>
      <c r="S6" s="13">
        <v>516.46899999999994</v>
      </c>
      <c r="T6" s="43">
        <v>12798.647700000003</v>
      </c>
    </row>
    <row r="7" spans="1:21">
      <c r="A7" s="21" t="s">
        <v>13</v>
      </c>
      <c r="B7" s="15">
        <v>2.7924000000000002</v>
      </c>
      <c r="C7" s="15" t="s">
        <v>60</v>
      </c>
      <c r="D7" s="15" t="s">
        <v>60</v>
      </c>
      <c r="E7" s="15" t="s">
        <v>60</v>
      </c>
      <c r="F7" s="15">
        <v>1.0500000000000001E-2</v>
      </c>
      <c r="G7" s="15" t="s">
        <v>60</v>
      </c>
      <c r="H7" s="15">
        <v>3.7658999999999998</v>
      </c>
      <c r="I7" s="15"/>
      <c r="J7" s="14" t="s">
        <v>60</v>
      </c>
      <c r="K7" s="15" t="s">
        <v>60</v>
      </c>
      <c r="L7" s="14" t="s">
        <v>60</v>
      </c>
      <c r="M7" s="15">
        <v>1.4026000000000001</v>
      </c>
      <c r="N7" s="15"/>
      <c r="O7" s="15">
        <v>1.9531000000000001</v>
      </c>
      <c r="P7" s="15">
        <v>16.196999999999999</v>
      </c>
      <c r="Q7" s="15">
        <v>3.71</v>
      </c>
      <c r="R7" s="15">
        <v>33.929600000000001</v>
      </c>
      <c r="S7" s="15">
        <v>422.73430000000002</v>
      </c>
      <c r="T7" s="16">
        <f>SUM(B7:S7)</f>
        <v>486.49540000000002</v>
      </c>
    </row>
    <row r="8" spans="1:21">
      <c r="A8" s="21" t="s">
        <v>14</v>
      </c>
      <c r="B8" s="15">
        <v>20.079999999999998</v>
      </c>
      <c r="C8" s="15">
        <v>0.81</v>
      </c>
      <c r="D8" s="15" t="s">
        <v>60</v>
      </c>
      <c r="E8" s="15" t="s">
        <v>60</v>
      </c>
      <c r="F8" s="15">
        <v>0.5</v>
      </c>
      <c r="G8" s="15" t="s">
        <v>60</v>
      </c>
      <c r="H8" s="15">
        <v>0.01</v>
      </c>
      <c r="I8" s="15"/>
      <c r="J8" s="14" t="s">
        <v>60</v>
      </c>
      <c r="K8" s="15" t="s">
        <v>60</v>
      </c>
      <c r="L8" s="14" t="s">
        <v>60</v>
      </c>
      <c r="M8" s="15">
        <v>2</v>
      </c>
      <c r="N8" s="15"/>
      <c r="O8" s="15">
        <v>2.2999999999999998</v>
      </c>
      <c r="P8" s="15" t="s">
        <v>60</v>
      </c>
      <c r="Q8" s="15" t="s">
        <v>60</v>
      </c>
      <c r="R8" s="15">
        <v>30.93</v>
      </c>
      <c r="S8" s="15">
        <v>2.52</v>
      </c>
      <c r="T8" s="16">
        <f t="shared" ref="T8:T37" si="0">SUM(B8:S8)</f>
        <v>59.15</v>
      </c>
    </row>
    <row r="9" spans="1:21">
      <c r="A9" s="21" t="s">
        <v>15</v>
      </c>
      <c r="B9" s="15">
        <v>0.15679999999999999</v>
      </c>
      <c r="C9" s="15">
        <v>0</v>
      </c>
      <c r="D9" s="15" t="s">
        <v>60</v>
      </c>
      <c r="E9" s="15" t="s">
        <v>60</v>
      </c>
      <c r="F9" s="15" t="s">
        <v>60</v>
      </c>
      <c r="G9" s="15" t="s">
        <v>60</v>
      </c>
      <c r="H9" s="15">
        <v>0.25800000000000001</v>
      </c>
      <c r="I9" s="15"/>
      <c r="J9" s="14" t="s">
        <v>60</v>
      </c>
      <c r="K9" s="15" t="s">
        <v>60</v>
      </c>
      <c r="L9" s="14" t="s">
        <v>60</v>
      </c>
      <c r="M9" s="15" t="s">
        <v>60</v>
      </c>
      <c r="N9" s="15"/>
      <c r="O9" s="15">
        <v>0.01</v>
      </c>
      <c r="P9" s="15" t="s">
        <v>60</v>
      </c>
      <c r="Q9" s="15" t="s">
        <v>60</v>
      </c>
      <c r="R9" s="15">
        <v>3.7138</v>
      </c>
      <c r="S9" s="15">
        <v>0.8034</v>
      </c>
      <c r="T9" s="16">
        <f t="shared" si="0"/>
        <v>4.9420000000000002</v>
      </c>
    </row>
    <row r="10" spans="1:21">
      <c r="A10" s="21" t="s">
        <v>16</v>
      </c>
      <c r="B10" s="15">
        <v>1.8274999999999999</v>
      </c>
      <c r="C10" s="15">
        <v>0.01</v>
      </c>
      <c r="D10" s="15" t="s">
        <v>60</v>
      </c>
      <c r="E10" s="15">
        <v>0.67669999999999997</v>
      </c>
      <c r="F10" s="15">
        <v>3.6600000000000001E-2</v>
      </c>
      <c r="G10" s="15" t="s">
        <v>60</v>
      </c>
      <c r="H10" s="15">
        <v>17.563300000000002</v>
      </c>
      <c r="I10" s="15"/>
      <c r="J10" s="14" t="s">
        <v>60</v>
      </c>
      <c r="K10" s="15" t="s">
        <v>60</v>
      </c>
      <c r="L10" s="14" t="s">
        <v>60</v>
      </c>
      <c r="M10" s="15">
        <v>6.0091000000000001</v>
      </c>
      <c r="N10" s="15"/>
      <c r="O10" s="15">
        <v>30.270800000000001</v>
      </c>
      <c r="P10" s="15" t="s">
        <v>60</v>
      </c>
      <c r="Q10" s="15">
        <v>1.7710999999999999</v>
      </c>
      <c r="R10" s="15">
        <v>115.89490000000001</v>
      </c>
      <c r="S10" s="15">
        <v>26.631599999999999</v>
      </c>
      <c r="T10" s="16">
        <f t="shared" si="0"/>
        <v>200.69159999999999</v>
      </c>
    </row>
    <row r="11" spans="1:21">
      <c r="A11" s="21" t="s">
        <v>17</v>
      </c>
      <c r="B11" s="15">
        <v>0.2823</v>
      </c>
      <c r="C11" s="15" t="s">
        <v>60</v>
      </c>
      <c r="D11" s="15" t="s">
        <v>60</v>
      </c>
      <c r="E11" s="15" t="s">
        <v>60</v>
      </c>
      <c r="F11" s="15" t="s">
        <v>60</v>
      </c>
      <c r="G11" s="15" t="s">
        <v>60</v>
      </c>
      <c r="H11" s="15">
        <v>5.0137999999999998</v>
      </c>
      <c r="I11" s="15"/>
      <c r="J11" s="14" t="s">
        <v>60</v>
      </c>
      <c r="K11" s="15" t="s">
        <v>60</v>
      </c>
      <c r="L11" s="14" t="s">
        <v>60</v>
      </c>
      <c r="M11" s="15" t="s">
        <v>60</v>
      </c>
      <c r="N11" s="15"/>
      <c r="O11" s="15" t="s">
        <v>60</v>
      </c>
      <c r="P11" s="15" t="s">
        <v>60</v>
      </c>
      <c r="Q11" s="15" t="s">
        <v>60</v>
      </c>
      <c r="R11" s="15">
        <v>13.415100000000001</v>
      </c>
      <c r="S11" s="15">
        <v>0.22</v>
      </c>
      <c r="T11" s="16">
        <f t="shared" si="0"/>
        <v>18.9312</v>
      </c>
    </row>
    <row r="12" spans="1:21">
      <c r="A12" s="21" t="s">
        <v>18</v>
      </c>
      <c r="B12" s="15">
        <v>0.3</v>
      </c>
      <c r="C12" s="15" t="s">
        <v>60</v>
      </c>
      <c r="D12" s="15" t="s">
        <v>60</v>
      </c>
      <c r="E12" s="15">
        <v>38.229999999999997</v>
      </c>
      <c r="F12" s="15" t="s">
        <v>60</v>
      </c>
      <c r="G12" s="15" t="s">
        <v>60</v>
      </c>
      <c r="H12" s="15">
        <v>7.43</v>
      </c>
      <c r="I12" s="15"/>
      <c r="J12" s="14" t="s">
        <v>60</v>
      </c>
      <c r="K12" s="15" t="s">
        <v>60</v>
      </c>
      <c r="L12" s="14" t="s">
        <v>60</v>
      </c>
      <c r="M12" s="15">
        <v>1.06</v>
      </c>
      <c r="N12" s="15"/>
      <c r="O12" s="15">
        <v>97.44</v>
      </c>
      <c r="P12" s="15" t="s">
        <v>60</v>
      </c>
      <c r="Q12" s="15">
        <v>0.2</v>
      </c>
      <c r="R12" s="15">
        <v>35.880000000000003</v>
      </c>
      <c r="S12" s="15">
        <v>0.69</v>
      </c>
      <c r="T12" s="16">
        <f t="shared" si="0"/>
        <v>181.22999999999996</v>
      </c>
    </row>
    <row r="13" spans="1:21">
      <c r="A13" s="21" t="s">
        <v>19</v>
      </c>
      <c r="B13" s="15">
        <v>0.2</v>
      </c>
      <c r="C13" s="15" t="s">
        <v>60</v>
      </c>
      <c r="D13" s="15" t="s">
        <v>60</v>
      </c>
      <c r="E13" s="15" t="s">
        <v>60</v>
      </c>
      <c r="F13" s="15" t="s">
        <v>60</v>
      </c>
      <c r="G13" s="15" t="s">
        <v>60</v>
      </c>
      <c r="H13" s="15">
        <v>1.9617</v>
      </c>
      <c r="I13" s="15"/>
      <c r="J13" s="14" t="s">
        <v>60</v>
      </c>
      <c r="K13" s="15" t="s">
        <v>60</v>
      </c>
      <c r="L13" s="14" t="s">
        <v>60</v>
      </c>
      <c r="M13" s="15" t="s">
        <v>60</v>
      </c>
      <c r="N13" s="15"/>
      <c r="O13" s="15" t="s">
        <v>60</v>
      </c>
      <c r="P13" s="15" t="s">
        <v>60</v>
      </c>
      <c r="Q13" s="15" t="s">
        <v>60</v>
      </c>
      <c r="R13" s="15">
        <v>2.2383000000000002</v>
      </c>
      <c r="S13" s="15">
        <v>10.7113</v>
      </c>
      <c r="T13" s="16">
        <f t="shared" si="0"/>
        <v>15.1113</v>
      </c>
    </row>
    <row r="14" spans="1:21">
      <c r="A14" s="21" t="s">
        <v>20</v>
      </c>
      <c r="B14" s="15">
        <v>165.44</v>
      </c>
      <c r="C14" s="15" t="s">
        <v>60</v>
      </c>
      <c r="D14" s="15" t="s">
        <v>60</v>
      </c>
      <c r="E14" s="15" t="s">
        <v>60</v>
      </c>
      <c r="F14" s="15" t="s">
        <v>60</v>
      </c>
      <c r="G14" s="15" t="s">
        <v>60</v>
      </c>
      <c r="H14" s="15">
        <v>18.128299999999999</v>
      </c>
      <c r="I14" s="15"/>
      <c r="J14" s="14" t="s">
        <v>60</v>
      </c>
      <c r="K14" s="15" t="s">
        <v>60</v>
      </c>
      <c r="L14" s="14" t="s">
        <v>60</v>
      </c>
      <c r="M14" s="15">
        <v>0.02</v>
      </c>
      <c r="N14" s="15"/>
      <c r="O14" s="15">
        <v>0.1</v>
      </c>
      <c r="P14" s="15" t="s">
        <v>60</v>
      </c>
      <c r="Q14" s="15">
        <v>0.31</v>
      </c>
      <c r="R14" s="15">
        <v>93.834900000000005</v>
      </c>
      <c r="S14" s="15">
        <v>2.76</v>
      </c>
      <c r="T14" s="16">
        <f t="shared" si="0"/>
        <v>280.59320000000002</v>
      </c>
    </row>
    <row r="15" spans="1:21">
      <c r="A15" s="22" t="s">
        <v>49</v>
      </c>
      <c r="B15" s="15">
        <v>3.2829999999999999</v>
      </c>
      <c r="C15" s="15">
        <v>500.68310000000002</v>
      </c>
      <c r="D15" s="15" t="s">
        <v>60</v>
      </c>
      <c r="E15" s="15">
        <v>0.2162</v>
      </c>
      <c r="F15" s="15">
        <v>5.1016000000000004</v>
      </c>
      <c r="G15" s="15">
        <v>0.02</v>
      </c>
      <c r="H15" s="15">
        <v>18.184799999999999</v>
      </c>
      <c r="I15" s="15"/>
      <c r="J15" s="14" t="s">
        <v>60</v>
      </c>
      <c r="K15" s="15" t="s">
        <v>60</v>
      </c>
      <c r="L15" s="14" t="s">
        <v>60</v>
      </c>
      <c r="M15" s="15">
        <v>0.1</v>
      </c>
      <c r="N15" s="15"/>
      <c r="O15" s="15">
        <v>5.17</v>
      </c>
      <c r="P15" s="15">
        <v>51.5852</v>
      </c>
      <c r="Q15" s="15">
        <v>1.2101</v>
      </c>
      <c r="R15" s="15">
        <v>13.7</v>
      </c>
      <c r="S15" s="15">
        <v>3.5449999999999999</v>
      </c>
      <c r="T15" s="16">
        <f t="shared" si="0"/>
        <v>602.79900000000009</v>
      </c>
    </row>
    <row r="16" spans="1:21">
      <c r="A16" s="21" t="s">
        <v>21</v>
      </c>
      <c r="B16" s="15">
        <v>1.4442999999999999</v>
      </c>
      <c r="C16" s="15">
        <v>0.14599999999999999</v>
      </c>
      <c r="D16" s="15" t="s">
        <v>60</v>
      </c>
      <c r="E16" s="15" t="s">
        <v>60</v>
      </c>
      <c r="F16" s="15" t="s">
        <v>60</v>
      </c>
      <c r="G16" s="15" t="s">
        <v>60</v>
      </c>
      <c r="H16" s="15">
        <v>3.8788999999999998</v>
      </c>
      <c r="I16" s="15"/>
      <c r="J16" s="14" t="s">
        <v>60</v>
      </c>
      <c r="K16" s="15" t="s">
        <v>60</v>
      </c>
      <c r="L16" s="14" t="s">
        <v>60</v>
      </c>
      <c r="M16" s="15">
        <v>261.98219999999998</v>
      </c>
      <c r="N16" s="15"/>
      <c r="O16" s="15" t="s">
        <v>60</v>
      </c>
      <c r="P16" s="15" t="s">
        <v>60</v>
      </c>
      <c r="Q16" s="15" t="s">
        <v>60</v>
      </c>
      <c r="R16" s="15">
        <v>18.287199999999999</v>
      </c>
      <c r="S16" s="15">
        <v>1.6680999999999999</v>
      </c>
      <c r="T16" s="16">
        <f t="shared" si="0"/>
        <v>287.40669999999994</v>
      </c>
    </row>
    <row r="17" spans="1:20">
      <c r="A17" s="21" t="s">
        <v>22</v>
      </c>
      <c r="B17" s="15" t="s">
        <v>60</v>
      </c>
      <c r="C17" s="15" t="s">
        <v>60</v>
      </c>
      <c r="D17" s="15" t="s">
        <v>60</v>
      </c>
      <c r="E17" s="15">
        <v>1</v>
      </c>
      <c r="F17" s="15" t="s">
        <v>60</v>
      </c>
      <c r="G17" s="15" t="s">
        <v>60</v>
      </c>
      <c r="H17" s="15">
        <v>13.115500000000001</v>
      </c>
      <c r="I17" s="15"/>
      <c r="J17" s="14" t="s">
        <v>60</v>
      </c>
      <c r="K17" s="15" t="s">
        <v>60</v>
      </c>
      <c r="L17" s="14" t="s">
        <v>60</v>
      </c>
      <c r="M17" s="15" t="s">
        <v>60</v>
      </c>
      <c r="N17" s="15"/>
      <c r="O17" s="15">
        <v>13.778700000000001</v>
      </c>
      <c r="P17" s="15" t="s">
        <v>60</v>
      </c>
      <c r="Q17" s="15">
        <v>1.5</v>
      </c>
      <c r="R17" s="15">
        <v>137.91409999999999</v>
      </c>
      <c r="S17" s="15" t="s">
        <v>60</v>
      </c>
      <c r="T17" s="16">
        <f t="shared" si="0"/>
        <v>167.3083</v>
      </c>
    </row>
    <row r="18" spans="1:20">
      <c r="A18" s="21" t="s">
        <v>23</v>
      </c>
      <c r="B18" s="15" t="s">
        <v>60</v>
      </c>
      <c r="C18" s="15" t="s">
        <v>60</v>
      </c>
      <c r="D18" s="15" t="s">
        <v>60</v>
      </c>
      <c r="E18" s="15">
        <v>5.0217999999999998</v>
      </c>
      <c r="F18" s="15" t="s">
        <v>60</v>
      </c>
      <c r="G18" s="15" t="s">
        <v>60</v>
      </c>
      <c r="H18" s="15">
        <v>0.77</v>
      </c>
      <c r="I18" s="15"/>
      <c r="J18" s="14" t="s">
        <v>60</v>
      </c>
      <c r="K18" s="15" t="s">
        <v>60</v>
      </c>
      <c r="L18" s="14" t="s">
        <v>60</v>
      </c>
      <c r="M18" s="15">
        <v>0.01</v>
      </c>
      <c r="N18" s="15"/>
      <c r="O18" s="15">
        <v>2.5383</v>
      </c>
      <c r="P18" s="15" t="s">
        <v>60</v>
      </c>
      <c r="Q18" s="15" t="s">
        <v>60</v>
      </c>
      <c r="R18" s="15">
        <v>124.3068</v>
      </c>
      <c r="S18" s="15">
        <v>0.02</v>
      </c>
      <c r="T18" s="16">
        <f t="shared" si="0"/>
        <v>132.6669</v>
      </c>
    </row>
    <row r="19" spans="1:20">
      <c r="A19" s="21" t="s">
        <v>24</v>
      </c>
      <c r="B19" s="15" t="s">
        <v>60</v>
      </c>
      <c r="C19" s="15" t="s">
        <v>60</v>
      </c>
      <c r="D19" s="15" t="s">
        <v>60</v>
      </c>
      <c r="E19" s="15" t="s">
        <v>60</v>
      </c>
      <c r="F19" s="15" t="s">
        <v>60</v>
      </c>
      <c r="G19" s="15" t="s">
        <v>60</v>
      </c>
      <c r="H19" s="15" t="s">
        <v>60</v>
      </c>
      <c r="I19" s="15"/>
      <c r="J19" s="14" t="s">
        <v>60</v>
      </c>
      <c r="K19" s="15" t="s">
        <v>60</v>
      </c>
      <c r="L19" s="14" t="s">
        <v>60</v>
      </c>
      <c r="M19" s="15">
        <v>0.02</v>
      </c>
      <c r="N19" s="15"/>
      <c r="O19" s="15" t="s">
        <v>60</v>
      </c>
      <c r="P19" s="15" t="s">
        <v>60</v>
      </c>
      <c r="Q19" s="15" t="s">
        <v>60</v>
      </c>
      <c r="R19" s="15">
        <v>34.153799999999997</v>
      </c>
      <c r="S19" s="15">
        <v>1.1100000000000001</v>
      </c>
      <c r="T19" s="16">
        <f t="shared" si="0"/>
        <v>35.283799999999999</v>
      </c>
    </row>
    <row r="20" spans="1:20">
      <c r="A20" s="21" t="s">
        <v>25</v>
      </c>
      <c r="B20" s="15">
        <v>15.9008</v>
      </c>
      <c r="C20" s="15" t="s">
        <v>60</v>
      </c>
      <c r="D20" s="15" t="s">
        <v>60</v>
      </c>
      <c r="E20" s="15">
        <v>7.5041000000000002</v>
      </c>
      <c r="F20" s="15" t="s">
        <v>60</v>
      </c>
      <c r="G20" s="15" t="s">
        <v>60</v>
      </c>
      <c r="H20" s="15">
        <v>9.1529000000000007</v>
      </c>
      <c r="I20" s="15"/>
      <c r="J20" s="14" t="s">
        <v>60</v>
      </c>
      <c r="K20" s="15" t="s">
        <v>60</v>
      </c>
      <c r="L20" s="14" t="s">
        <v>60</v>
      </c>
      <c r="M20" s="15">
        <v>2.1537000000000002</v>
      </c>
      <c r="N20" s="15"/>
      <c r="O20" s="15">
        <v>15.86</v>
      </c>
      <c r="P20" s="15" t="s">
        <v>60</v>
      </c>
      <c r="Q20" s="15" t="s">
        <v>60</v>
      </c>
      <c r="R20" s="15">
        <v>4.0149999999999997</v>
      </c>
      <c r="S20" s="15" t="s">
        <v>60</v>
      </c>
      <c r="T20" s="16">
        <f t="shared" si="0"/>
        <v>54.586500000000001</v>
      </c>
    </row>
    <row r="21" spans="1:20">
      <c r="A21" s="21" t="s">
        <v>58</v>
      </c>
      <c r="B21" s="15">
        <v>0.30130000000000001</v>
      </c>
      <c r="C21" s="15" t="s">
        <v>60</v>
      </c>
      <c r="D21" s="15" t="s">
        <v>60</v>
      </c>
      <c r="E21" s="15">
        <v>8.2920999999999996</v>
      </c>
      <c r="F21" s="15">
        <v>3.3052000000000001</v>
      </c>
      <c r="G21" s="15" t="s">
        <v>60</v>
      </c>
      <c r="H21" s="15">
        <v>4.7976000000000001</v>
      </c>
      <c r="I21" s="15"/>
      <c r="J21" s="14" t="s">
        <v>60</v>
      </c>
      <c r="K21" s="15">
        <v>5.0975000000000001</v>
      </c>
      <c r="L21" s="14" t="s">
        <v>60</v>
      </c>
      <c r="M21" s="15">
        <v>0.2472</v>
      </c>
      <c r="N21" s="15"/>
      <c r="O21" s="15">
        <v>0.21429999999999999</v>
      </c>
      <c r="P21" s="15" t="s">
        <v>60</v>
      </c>
      <c r="Q21" s="15" t="s">
        <v>60</v>
      </c>
      <c r="R21" s="15">
        <v>98.831900000000005</v>
      </c>
      <c r="S21" s="15">
        <v>0.55500000000000005</v>
      </c>
      <c r="T21" s="16">
        <f t="shared" si="0"/>
        <v>121.64210000000001</v>
      </c>
    </row>
    <row r="22" spans="1:20">
      <c r="A22" s="21" t="s">
        <v>26</v>
      </c>
      <c r="B22" s="15" t="s">
        <v>60</v>
      </c>
      <c r="C22" s="15" t="s">
        <v>60</v>
      </c>
      <c r="D22" s="15" t="s">
        <v>60</v>
      </c>
      <c r="E22" s="15" t="s">
        <v>60</v>
      </c>
      <c r="F22" s="15" t="s">
        <v>60</v>
      </c>
      <c r="G22" s="15" t="s">
        <v>60</v>
      </c>
      <c r="H22" s="15">
        <v>8.2199999999999995E-2</v>
      </c>
      <c r="I22" s="15"/>
      <c r="J22" s="14" t="s">
        <v>60</v>
      </c>
      <c r="K22" s="15" t="s">
        <v>60</v>
      </c>
      <c r="L22" s="14" t="s">
        <v>60</v>
      </c>
      <c r="M22" s="15" t="s">
        <v>60</v>
      </c>
      <c r="N22" s="15"/>
      <c r="O22" s="15" t="s">
        <v>60</v>
      </c>
      <c r="P22" s="15">
        <v>0.2</v>
      </c>
      <c r="Q22" s="15" t="s">
        <v>60</v>
      </c>
      <c r="R22" s="15">
        <v>18.6782</v>
      </c>
      <c r="S22" s="15">
        <v>2.3289</v>
      </c>
      <c r="T22" s="16">
        <f t="shared" si="0"/>
        <v>21.289300000000001</v>
      </c>
    </row>
    <row r="23" spans="1:20">
      <c r="A23" s="21" t="s">
        <v>27</v>
      </c>
      <c r="B23" s="15">
        <v>4.3099999999999996</v>
      </c>
      <c r="C23" s="15">
        <v>0.06</v>
      </c>
      <c r="D23" s="15" t="s">
        <v>60</v>
      </c>
      <c r="E23" s="15">
        <v>5.0000000000000001E-3</v>
      </c>
      <c r="F23" s="15" t="s">
        <v>60</v>
      </c>
      <c r="G23" s="15">
        <v>1.4999999999999999E-2</v>
      </c>
      <c r="H23" s="15">
        <v>18.473099999999999</v>
      </c>
      <c r="I23" s="15"/>
      <c r="J23" s="14" t="s">
        <v>60</v>
      </c>
      <c r="K23" s="15" t="s">
        <v>60</v>
      </c>
      <c r="L23" s="14" t="s">
        <v>60</v>
      </c>
      <c r="M23" s="15">
        <v>0.81269999999999998</v>
      </c>
      <c r="N23" s="15"/>
      <c r="O23" s="15" t="s">
        <v>60</v>
      </c>
      <c r="P23" s="15">
        <v>2.2128000000000001</v>
      </c>
      <c r="Q23" s="15" t="s">
        <v>60</v>
      </c>
      <c r="R23" s="15">
        <v>47.076300000000003</v>
      </c>
      <c r="S23" s="15">
        <v>0.42649999999999999</v>
      </c>
      <c r="T23" s="16">
        <f t="shared" si="0"/>
        <v>73.391400000000004</v>
      </c>
    </row>
    <row r="24" spans="1:20">
      <c r="A24" s="21" t="s">
        <v>28</v>
      </c>
      <c r="B24" s="15">
        <v>5.7960000000000003</v>
      </c>
      <c r="C24" s="15" t="s">
        <v>60</v>
      </c>
      <c r="D24" s="15" t="s">
        <v>60</v>
      </c>
      <c r="E24" s="15" t="s">
        <v>60</v>
      </c>
      <c r="F24" s="15">
        <v>0.82299999999999995</v>
      </c>
      <c r="G24" s="15">
        <v>2.2277999999999998</v>
      </c>
      <c r="H24" s="15">
        <v>667.29989999999998</v>
      </c>
      <c r="I24" s="15"/>
      <c r="J24" s="14" t="s">
        <v>60</v>
      </c>
      <c r="K24" s="15" t="s">
        <v>60</v>
      </c>
      <c r="L24" s="14" t="s">
        <v>60</v>
      </c>
      <c r="M24" s="15">
        <v>31.009499999999999</v>
      </c>
      <c r="N24" s="15"/>
      <c r="O24" s="15">
        <v>27.949000000000002</v>
      </c>
      <c r="P24" s="15">
        <v>0.3</v>
      </c>
      <c r="Q24" s="15">
        <v>562.03150000000005</v>
      </c>
      <c r="R24" s="15" t="s">
        <v>60</v>
      </c>
      <c r="S24" s="15">
        <v>2.819</v>
      </c>
      <c r="T24" s="16">
        <f t="shared" si="0"/>
        <v>1300.2556999999999</v>
      </c>
    </row>
    <row r="25" spans="1:20">
      <c r="A25" s="21" t="s">
        <v>29</v>
      </c>
      <c r="B25" s="15">
        <v>0.1162</v>
      </c>
      <c r="C25" s="15" t="s">
        <v>60</v>
      </c>
      <c r="D25" s="15" t="s">
        <v>60</v>
      </c>
      <c r="E25" s="15">
        <v>7.17E-2</v>
      </c>
      <c r="F25" s="15" t="s">
        <v>60</v>
      </c>
      <c r="G25" s="15" t="s">
        <v>60</v>
      </c>
      <c r="H25" s="15">
        <v>34.775399999999998</v>
      </c>
      <c r="I25" s="15"/>
      <c r="J25" s="14" t="s">
        <v>60</v>
      </c>
      <c r="K25" s="15" t="s">
        <v>60</v>
      </c>
      <c r="L25" s="14" t="s">
        <v>60</v>
      </c>
      <c r="M25" s="15">
        <v>0.11</v>
      </c>
      <c r="N25" s="15"/>
      <c r="O25" s="15">
        <v>0.47</v>
      </c>
      <c r="P25" s="15" t="s">
        <v>60</v>
      </c>
      <c r="Q25" s="15" t="s">
        <v>60</v>
      </c>
      <c r="R25" s="15">
        <v>34.2821</v>
      </c>
      <c r="S25" s="15">
        <v>0.73009999999999997</v>
      </c>
      <c r="T25" s="16">
        <f t="shared" si="0"/>
        <v>70.555499999999995</v>
      </c>
    </row>
    <row r="26" spans="1:20">
      <c r="A26" s="21" t="s">
        <v>30</v>
      </c>
      <c r="B26" s="15" t="s">
        <v>60</v>
      </c>
      <c r="C26" s="15" t="s">
        <v>60</v>
      </c>
      <c r="D26" s="15" t="s">
        <v>60</v>
      </c>
      <c r="E26" s="15" t="s">
        <v>60</v>
      </c>
      <c r="F26" s="15" t="s">
        <v>60</v>
      </c>
      <c r="G26" s="15" t="s">
        <v>60</v>
      </c>
      <c r="H26" s="15">
        <v>0.01</v>
      </c>
      <c r="I26" s="15"/>
      <c r="J26" s="14" t="s">
        <v>60</v>
      </c>
      <c r="K26" s="15" t="s">
        <v>60</v>
      </c>
      <c r="L26" s="14" t="s">
        <v>60</v>
      </c>
      <c r="M26" s="15" t="s">
        <v>60</v>
      </c>
      <c r="N26" s="15"/>
      <c r="O26" s="15">
        <v>0.04</v>
      </c>
      <c r="P26" s="15" t="s">
        <v>60</v>
      </c>
      <c r="Q26" s="15" t="s">
        <v>60</v>
      </c>
      <c r="R26" s="15">
        <v>4.9348999999999998</v>
      </c>
      <c r="S26" s="15">
        <v>0.16</v>
      </c>
      <c r="T26" s="16">
        <f t="shared" si="0"/>
        <v>5.1448999999999998</v>
      </c>
    </row>
    <row r="27" spans="1:20">
      <c r="A27" s="21" t="s">
        <v>31</v>
      </c>
      <c r="B27" s="15" t="s">
        <v>60</v>
      </c>
      <c r="C27" s="15">
        <v>0.2</v>
      </c>
      <c r="D27" s="15" t="s">
        <v>60</v>
      </c>
      <c r="E27" s="15" t="s">
        <v>60</v>
      </c>
      <c r="F27" s="15">
        <v>1.5113000000000001</v>
      </c>
      <c r="G27" s="15" t="s">
        <v>60</v>
      </c>
      <c r="H27" s="15">
        <v>1.8</v>
      </c>
      <c r="I27" s="15"/>
      <c r="J27" s="14" t="s">
        <v>60</v>
      </c>
      <c r="K27" s="15" t="s">
        <v>60</v>
      </c>
      <c r="L27" s="14" t="s">
        <v>60</v>
      </c>
      <c r="M27" s="15" t="s">
        <v>60</v>
      </c>
      <c r="N27" s="15"/>
      <c r="O27" s="15" t="s">
        <v>60</v>
      </c>
      <c r="P27" s="15">
        <v>0.3745</v>
      </c>
      <c r="Q27" s="15" t="s">
        <v>60</v>
      </c>
      <c r="R27" s="15">
        <v>11.151400000000001</v>
      </c>
      <c r="S27" s="15" t="s">
        <v>60</v>
      </c>
      <c r="T27" s="16">
        <f t="shared" si="0"/>
        <v>15.0372</v>
      </c>
    </row>
    <row r="28" spans="1:20">
      <c r="A28" s="21" t="s">
        <v>32</v>
      </c>
      <c r="B28" s="15" t="s">
        <v>60</v>
      </c>
      <c r="C28" s="15" t="s">
        <v>60</v>
      </c>
      <c r="D28" s="15" t="s">
        <v>60</v>
      </c>
      <c r="E28" s="15">
        <v>0.45319999999999999</v>
      </c>
      <c r="F28" s="15" t="s">
        <v>60</v>
      </c>
      <c r="G28" s="15" t="s">
        <v>60</v>
      </c>
      <c r="H28" s="15" t="s">
        <v>60</v>
      </c>
      <c r="I28" s="15"/>
      <c r="J28" s="14" t="s">
        <v>60</v>
      </c>
      <c r="K28" s="15" t="s">
        <v>60</v>
      </c>
      <c r="L28" s="14" t="s">
        <v>60</v>
      </c>
      <c r="M28" s="15" t="s">
        <v>60</v>
      </c>
      <c r="N28" s="15"/>
      <c r="O28" s="15" t="s">
        <v>60</v>
      </c>
      <c r="P28" s="15" t="s">
        <v>60</v>
      </c>
      <c r="Q28" s="15" t="s">
        <v>60</v>
      </c>
      <c r="R28" s="15">
        <v>0.13</v>
      </c>
      <c r="S28" s="15">
        <v>4.9000000000000002E-2</v>
      </c>
      <c r="T28" s="16">
        <f t="shared" si="0"/>
        <v>0.63219999999999998</v>
      </c>
    </row>
    <row r="29" spans="1:20">
      <c r="A29" s="21" t="s">
        <v>33</v>
      </c>
      <c r="B29" s="15">
        <v>0.05</v>
      </c>
      <c r="C29" s="15">
        <v>0.35</v>
      </c>
      <c r="D29" s="15" t="s">
        <v>60</v>
      </c>
      <c r="E29" s="15" t="s">
        <v>60</v>
      </c>
      <c r="F29" s="15" t="s">
        <v>60</v>
      </c>
      <c r="G29" s="15">
        <v>0.04</v>
      </c>
      <c r="H29" s="15">
        <v>4.67</v>
      </c>
      <c r="I29" s="15"/>
      <c r="J29" s="14" t="s">
        <v>60</v>
      </c>
      <c r="K29" s="15" t="s">
        <v>60</v>
      </c>
      <c r="L29" s="14" t="s">
        <v>60</v>
      </c>
      <c r="M29" s="15">
        <v>0.03</v>
      </c>
      <c r="N29" s="15"/>
      <c r="O29" s="15">
        <v>0.68</v>
      </c>
      <c r="P29" s="15" t="s">
        <v>60</v>
      </c>
      <c r="Q29" s="15">
        <v>268.10000000000002</v>
      </c>
      <c r="R29" s="15" t="s">
        <v>60</v>
      </c>
      <c r="S29" s="15">
        <v>2.0106999999999999</v>
      </c>
      <c r="T29" s="16">
        <f t="shared" si="0"/>
        <v>275.9307</v>
      </c>
    </row>
    <row r="30" spans="1:20">
      <c r="A30" s="21" t="s">
        <v>34</v>
      </c>
      <c r="B30" s="15">
        <v>0.08</v>
      </c>
      <c r="C30" s="15" t="s">
        <v>60</v>
      </c>
      <c r="D30" s="15" t="s">
        <v>60</v>
      </c>
      <c r="E30" s="15">
        <v>0.09</v>
      </c>
      <c r="F30" s="15">
        <v>1.2611000000000001</v>
      </c>
      <c r="G30" s="15">
        <v>2.92</v>
      </c>
      <c r="H30" s="15">
        <v>7.5</v>
      </c>
      <c r="I30" s="15"/>
      <c r="J30" s="14" t="s">
        <v>60</v>
      </c>
      <c r="K30" s="15" t="s">
        <v>60</v>
      </c>
      <c r="L30" s="14" t="s">
        <v>60</v>
      </c>
      <c r="M30" s="15">
        <v>9.1239000000000008</v>
      </c>
      <c r="N30" s="15"/>
      <c r="O30" s="15">
        <v>2063.0169000000001</v>
      </c>
      <c r="P30" s="15" t="s">
        <v>60</v>
      </c>
      <c r="Q30" s="15" t="s">
        <v>60</v>
      </c>
      <c r="R30" s="15">
        <v>11.73</v>
      </c>
      <c r="S30" s="15">
        <v>22.401199999999999</v>
      </c>
      <c r="T30" s="16">
        <f t="shared" si="0"/>
        <v>2118.1230999999998</v>
      </c>
    </row>
    <row r="31" spans="1:20">
      <c r="A31" s="21" t="s">
        <v>35</v>
      </c>
      <c r="B31" s="15">
        <v>0.3</v>
      </c>
      <c r="C31" s="15">
        <v>0.55000000000000004</v>
      </c>
      <c r="D31" s="15">
        <v>5.0000000000000001E-3</v>
      </c>
      <c r="E31" s="15">
        <v>2.0101</v>
      </c>
      <c r="F31" s="15">
        <v>0.69689999999999996</v>
      </c>
      <c r="G31" s="15" t="s">
        <v>60</v>
      </c>
      <c r="H31" s="15">
        <v>8.2125000000000004</v>
      </c>
      <c r="I31" s="15"/>
      <c r="J31" s="14" t="s">
        <v>60</v>
      </c>
      <c r="K31" s="15" t="s">
        <v>60</v>
      </c>
      <c r="L31" s="14" t="s">
        <v>60</v>
      </c>
      <c r="M31" s="15">
        <v>4395.8519999999999</v>
      </c>
      <c r="N31" s="15"/>
      <c r="O31" s="15">
        <v>79.087400000000002</v>
      </c>
      <c r="P31" s="15">
        <v>0.16700000000000001</v>
      </c>
      <c r="Q31" s="15">
        <v>0.3</v>
      </c>
      <c r="R31" s="15">
        <v>846.29780000000005</v>
      </c>
      <c r="S31" s="15">
        <v>11.4489</v>
      </c>
      <c r="T31" s="16">
        <f t="shared" si="0"/>
        <v>5344.9276000000018</v>
      </c>
    </row>
    <row r="32" spans="1:20">
      <c r="A32" s="21" t="s">
        <v>47</v>
      </c>
      <c r="B32" s="15">
        <v>6.8815999999999997</v>
      </c>
      <c r="C32" s="15">
        <v>0.01</v>
      </c>
      <c r="D32" s="15" t="s">
        <v>60</v>
      </c>
      <c r="E32" s="15" t="s">
        <v>60</v>
      </c>
      <c r="F32" s="15" t="s">
        <v>60</v>
      </c>
      <c r="G32" s="15" t="s">
        <v>60</v>
      </c>
      <c r="H32" s="15">
        <v>0.95279999999999998</v>
      </c>
      <c r="I32" s="15"/>
      <c r="J32" s="14" t="s">
        <v>60</v>
      </c>
      <c r="K32" s="15" t="s">
        <v>60</v>
      </c>
      <c r="L32" s="14" t="s">
        <v>60</v>
      </c>
      <c r="M32" s="15">
        <v>5.5E-2</v>
      </c>
      <c r="N32" s="15"/>
      <c r="O32" s="15">
        <v>8.2398000000000007</v>
      </c>
      <c r="P32" s="15" t="s">
        <v>60</v>
      </c>
      <c r="Q32" s="15" t="s">
        <v>60</v>
      </c>
      <c r="R32" s="15">
        <v>16.4269</v>
      </c>
      <c r="S32" s="15" t="s">
        <v>60</v>
      </c>
      <c r="T32" s="16">
        <f t="shared" si="0"/>
        <v>32.566099999999999</v>
      </c>
    </row>
    <row r="33" spans="1:21">
      <c r="A33" s="21" t="s">
        <v>59</v>
      </c>
      <c r="B33" s="15" t="s">
        <v>60</v>
      </c>
      <c r="C33" s="15" t="s">
        <v>60</v>
      </c>
      <c r="D33" s="15" t="s">
        <v>60</v>
      </c>
      <c r="E33" s="15" t="s">
        <v>60</v>
      </c>
      <c r="F33" s="15" t="s">
        <v>60</v>
      </c>
      <c r="G33" s="15" t="s">
        <v>60</v>
      </c>
      <c r="H33" s="15" t="s">
        <v>60</v>
      </c>
      <c r="I33" s="15"/>
      <c r="J33" s="14" t="s">
        <v>60</v>
      </c>
      <c r="K33" s="15" t="s">
        <v>60</v>
      </c>
      <c r="L33" s="14" t="s">
        <v>60</v>
      </c>
      <c r="M33" s="15" t="s">
        <v>60</v>
      </c>
      <c r="N33" s="15"/>
      <c r="O33" s="15">
        <v>0.01</v>
      </c>
      <c r="P33" s="15" t="s">
        <v>60</v>
      </c>
      <c r="Q33" s="15" t="s">
        <v>60</v>
      </c>
      <c r="R33" s="15">
        <v>2.17</v>
      </c>
      <c r="S33" s="15" t="s">
        <v>60</v>
      </c>
      <c r="T33" s="16">
        <f t="shared" si="0"/>
        <v>2.1799999999999997</v>
      </c>
    </row>
    <row r="34" spans="1:21">
      <c r="A34" s="21" t="s">
        <v>48</v>
      </c>
      <c r="B34" s="15" t="s">
        <v>60</v>
      </c>
      <c r="C34" s="15" t="s">
        <v>60</v>
      </c>
      <c r="D34" s="15" t="s">
        <v>60</v>
      </c>
      <c r="E34" s="15" t="s">
        <v>60</v>
      </c>
      <c r="F34" s="15">
        <v>1</v>
      </c>
      <c r="G34" s="15" t="s">
        <v>60</v>
      </c>
      <c r="H34" s="15">
        <v>1.2</v>
      </c>
      <c r="I34" s="15"/>
      <c r="J34" s="14" t="s">
        <v>60</v>
      </c>
      <c r="K34" s="15" t="s">
        <v>60</v>
      </c>
      <c r="L34" s="14" t="s">
        <v>60</v>
      </c>
      <c r="M34" s="15">
        <v>0.10349999999999999</v>
      </c>
      <c r="N34" s="15"/>
      <c r="O34" s="15">
        <v>20.005700000000001</v>
      </c>
      <c r="P34" s="15">
        <v>15.7035</v>
      </c>
      <c r="Q34" s="15" t="s">
        <v>60</v>
      </c>
      <c r="R34" s="15">
        <v>349.14920000000001</v>
      </c>
      <c r="S34" s="15" t="s">
        <v>60</v>
      </c>
      <c r="T34" s="16">
        <f t="shared" si="0"/>
        <v>387.1619</v>
      </c>
    </row>
    <row r="35" spans="1:21">
      <c r="A35" s="21" t="s">
        <v>36</v>
      </c>
      <c r="B35" s="15">
        <v>5.1858000000000004</v>
      </c>
      <c r="C35" s="15" t="s">
        <v>60</v>
      </c>
      <c r="D35" s="15" t="s">
        <v>60</v>
      </c>
      <c r="E35" s="15" t="s">
        <v>60</v>
      </c>
      <c r="F35" s="15" t="s">
        <v>60</v>
      </c>
      <c r="G35" s="15" t="s">
        <v>60</v>
      </c>
      <c r="H35" s="15">
        <v>1.012</v>
      </c>
      <c r="I35" s="15"/>
      <c r="J35" s="14" t="s">
        <v>60</v>
      </c>
      <c r="K35" s="15" t="s">
        <v>60</v>
      </c>
      <c r="L35" s="14" t="s">
        <v>60</v>
      </c>
      <c r="M35" s="15">
        <v>3</v>
      </c>
      <c r="N35" s="15"/>
      <c r="O35" s="15" t="s">
        <v>60</v>
      </c>
      <c r="P35" s="15" t="s">
        <v>60</v>
      </c>
      <c r="Q35" s="15" t="s">
        <v>60</v>
      </c>
      <c r="R35" s="15">
        <v>16.2456</v>
      </c>
      <c r="S35" s="15" t="s">
        <v>60</v>
      </c>
      <c r="T35" s="16">
        <f t="shared" si="0"/>
        <v>25.4434</v>
      </c>
    </row>
    <row r="36" spans="1:21">
      <c r="A36" s="21" t="s">
        <v>37</v>
      </c>
      <c r="B36" s="15">
        <v>0.03</v>
      </c>
      <c r="C36" s="15" t="s">
        <v>60</v>
      </c>
      <c r="D36" s="15" t="s">
        <v>60</v>
      </c>
      <c r="E36" s="15">
        <v>3.1899999999999998E-2</v>
      </c>
      <c r="F36" s="15" t="s">
        <v>60</v>
      </c>
      <c r="G36" s="15" t="s">
        <v>60</v>
      </c>
      <c r="H36" s="15">
        <v>0.01</v>
      </c>
      <c r="I36" s="15"/>
      <c r="J36" s="14" t="s">
        <v>60</v>
      </c>
      <c r="K36" s="15" t="s">
        <v>60</v>
      </c>
      <c r="L36" s="14" t="s">
        <v>60</v>
      </c>
      <c r="M36" s="15">
        <v>0.01</v>
      </c>
      <c r="N36" s="15"/>
      <c r="O36" s="15">
        <v>0.1</v>
      </c>
      <c r="P36" s="15" t="s">
        <v>60</v>
      </c>
      <c r="Q36" s="15" t="s">
        <v>60</v>
      </c>
      <c r="R36" s="15">
        <v>2.7570999999999999</v>
      </c>
      <c r="S36" s="15">
        <v>5.5E-2</v>
      </c>
      <c r="T36" s="16">
        <f t="shared" si="0"/>
        <v>2.9940000000000002</v>
      </c>
    </row>
    <row r="37" spans="1:21" ht="15.75" thickBot="1">
      <c r="A37" s="23" t="s">
        <v>53</v>
      </c>
      <c r="B37" s="17" t="s">
        <v>60</v>
      </c>
      <c r="C37" s="17" t="s">
        <v>60</v>
      </c>
      <c r="D37" s="17" t="s">
        <v>60</v>
      </c>
      <c r="E37" s="17" t="s">
        <v>60</v>
      </c>
      <c r="F37" s="17" t="s">
        <v>60</v>
      </c>
      <c r="G37" s="17" t="s">
        <v>60</v>
      </c>
      <c r="H37" s="17">
        <v>460.33800000000002</v>
      </c>
      <c r="I37" s="17"/>
      <c r="J37" s="20" t="s">
        <v>60</v>
      </c>
      <c r="K37" s="17" t="s">
        <v>60</v>
      </c>
      <c r="L37" s="20" t="s">
        <v>60</v>
      </c>
      <c r="M37" s="17">
        <v>2</v>
      </c>
      <c r="N37" s="17"/>
      <c r="O37" s="17">
        <v>2</v>
      </c>
      <c r="P37" s="17" t="s">
        <v>60</v>
      </c>
      <c r="Q37" s="17">
        <v>5.3999999999999999E-2</v>
      </c>
      <c r="R37" s="17">
        <v>9.7080000000000002</v>
      </c>
      <c r="S37" s="17">
        <v>7.0999999999999994E-2</v>
      </c>
      <c r="T37" s="18">
        <f t="shared" si="0"/>
        <v>474.17100000000005</v>
      </c>
    </row>
    <row r="38" spans="1:21" ht="15" customHeight="1">
      <c r="A38" s="40" t="s">
        <v>54</v>
      </c>
      <c r="B38" s="40"/>
      <c r="C38" s="40"/>
      <c r="D38" s="40"/>
      <c r="E38" s="10"/>
      <c r="F38" s="10"/>
      <c r="G38" s="10"/>
      <c r="H38" s="10"/>
      <c r="I38" s="1"/>
      <c r="J38" s="10"/>
      <c r="K38" s="10"/>
      <c r="L38" s="10"/>
      <c r="M38" s="10"/>
      <c r="N38" s="10"/>
      <c r="O38" s="10"/>
      <c r="P38" s="42" t="s">
        <v>55</v>
      </c>
      <c r="Q38" s="42"/>
      <c r="R38" s="42"/>
      <c r="S38" s="42"/>
      <c r="T38" s="42"/>
    </row>
    <row r="39" spans="1:21">
      <c r="A39" s="41"/>
      <c r="B39" s="41"/>
      <c r="C39" s="41"/>
      <c r="D39" s="41"/>
      <c r="P39" s="38"/>
      <c r="Q39" s="38"/>
      <c r="R39" s="38"/>
      <c r="S39" s="38"/>
      <c r="T39" s="38"/>
    </row>
    <row r="40" spans="1:21" ht="6.75" customHeight="1">
      <c r="A40" s="41"/>
      <c r="B40" s="41"/>
      <c r="C40" s="41"/>
      <c r="D40" s="41"/>
      <c r="P40" s="38"/>
      <c r="Q40" s="38"/>
      <c r="R40" s="38"/>
      <c r="S40" s="38"/>
      <c r="T40" s="38"/>
    </row>
    <row r="41" spans="1:21" ht="15" customHeight="1">
      <c r="A41" s="37" t="s">
        <v>61</v>
      </c>
      <c r="B41" s="37"/>
      <c r="C41" s="37"/>
      <c r="D41" s="37"/>
      <c r="E41" s="37"/>
      <c r="P41" s="39" t="s">
        <v>63</v>
      </c>
      <c r="Q41" s="39"/>
      <c r="R41" s="39"/>
      <c r="S41" s="39"/>
      <c r="T41" s="39"/>
      <c r="U41" s="39"/>
    </row>
    <row r="42" spans="1:21">
      <c r="A42" s="37"/>
      <c r="B42" s="37"/>
      <c r="C42" s="37"/>
      <c r="D42" s="37"/>
      <c r="E42" s="37"/>
      <c r="P42" s="39"/>
      <c r="Q42" s="39"/>
      <c r="R42" s="39"/>
      <c r="S42" s="39"/>
      <c r="T42" s="39"/>
      <c r="U42" s="39"/>
    </row>
    <row r="43" spans="1:21" ht="15" customHeight="1">
      <c r="A43" s="38" t="s">
        <v>62</v>
      </c>
      <c r="B43" s="38"/>
      <c r="C43" s="38"/>
      <c r="D43" s="38"/>
      <c r="E43" s="38"/>
      <c r="P43" s="39" t="s">
        <v>64</v>
      </c>
      <c r="Q43" s="39"/>
      <c r="R43" s="39"/>
      <c r="S43" s="39"/>
      <c r="T43" s="39"/>
      <c r="U43" s="39"/>
    </row>
    <row r="44" spans="1:21">
      <c r="A44" s="38"/>
      <c r="B44" s="38"/>
      <c r="C44" s="38"/>
      <c r="D44" s="38"/>
      <c r="E44" s="38"/>
      <c r="P44" s="39"/>
      <c r="Q44" s="39"/>
      <c r="R44" s="39"/>
      <c r="S44" s="39"/>
      <c r="T44" s="39"/>
      <c r="U44" s="39"/>
    </row>
  </sheetData>
  <mergeCells count="18">
    <mergeCell ref="A41:E42"/>
    <mergeCell ref="A43:E44"/>
    <mergeCell ref="P41:U42"/>
    <mergeCell ref="P43:U44"/>
    <mergeCell ref="A38:D40"/>
    <mergeCell ref="P38:T40"/>
    <mergeCell ref="S4:S5"/>
    <mergeCell ref="T4:T5"/>
    <mergeCell ref="A1:T1"/>
    <mergeCell ref="S2:T2"/>
    <mergeCell ref="B3:H3"/>
    <mergeCell ref="J3:M3"/>
    <mergeCell ref="O3:Q3"/>
    <mergeCell ref="A4:A5"/>
    <mergeCell ref="B4:H4"/>
    <mergeCell ref="J4:M4"/>
    <mergeCell ref="O4:Q4"/>
    <mergeCell ref="R4:R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12.7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Elif ALIM</dc:creator>
  <cp:lastModifiedBy>Elif Alim-Istatistikçi</cp:lastModifiedBy>
  <dcterms:created xsi:type="dcterms:W3CDTF">2014-12-11T11:32:54Z</dcterms:created>
  <dcterms:modified xsi:type="dcterms:W3CDTF">2023-05-25T07:12:44Z</dcterms:modified>
</cp:coreProperties>
</file>